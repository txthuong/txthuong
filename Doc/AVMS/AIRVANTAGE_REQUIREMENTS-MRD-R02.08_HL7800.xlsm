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001" codeName="{2AF44A5B-4F9A-30C1-5B58-47010ADB2D0F}"/>
  <workbookPr codeName="ThisWorkbook"/>
  <mc:AlternateContent xmlns:mc="http://schemas.openxmlformats.org/markup-compatibility/2006">
    <mc:Choice Requires="x15">
      <x15ac:absPath xmlns:x15ac="http://schemas.microsoft.com/office/spreadsheetml/2010/11/ac" url="d:\Users\trazafinakanga\OD\Attachments\SWI\Projects\Dizzy(HL78xx)\02 - Docs\00 - MRD\"/>
    </mc:Choice>
  </mc:AlternateContent>
  <xr:revisionPtr revIDLastSave="2" documentId="8_{FC58B426-7A52-42A1-A529-20152FA630E6}" xr6:coauthVersionLast="38" xr6:coauthVersionMax="38" xr10:uidLastSave="{FB62CD5E-926A-48C1-92F8-9E4AA0F964C2}"/>
  <bookViews>
    <workbookView xWindow="0" yWindow="465" windowWidth="19200" windowHeight="6690" activeTab="1" xr2:uid="{00000000-000D-0000-FFFF-FFFF00000000}"/>
  </bookViews>
  <sheets>
    <sheet name="Title &amp; Revision" sheetId="3" r:id="rId1"/>
    <sheet name="Requirements" sheetId="1" r:id="rId2"/>
    <sheet name="Indicators" sheetId="10" r:id="rId3"/>
    <sheet name="Guidelines" sheetId="7" r:id="rId4"/>
    <sheet name="Parameters" sheetId="11" state="hidden" r:id="rId5"/>
    <sheet name="Import_QC" sheetId="15" r:id="rId6"/>
    <sheet name="Admin" sheetId="13" r:id="rId7"/>
    <sheet name="Template Revision" sheetId="14" state="hidden" r:id="rId8"/>
    <sheet name="Green_Req" sheetId="17" state="hidden" r:id="rId9"/>
    <sheet name="sort" sheetId="19" state="veryHidden" r:id="rId10"/>
  </sheets>
  <functionGroups builtInGroupCount="19"/>
  <definedNames>
    <definedName name="_xlnm._FilterDatabase" localSheetId="8" hidden="1">Green_Req!$A$1:$AE$7</definedName>
    <definedName name="_xlnm._FilterDatabase" localSheetId="1" hidden="1">Requirements!$B$2:$AF$2</definedName>
    <definedName name="_xlnm._FilterDatabase" localSheetId="7" hidden="1">'Template Revision'!$B$11:$E$11</definedName>
    <definedName name="_xlnm._FilterDatabase" localSheetId="0" hidden="1">'Title &amp; Revision'!$B$14:$E$14</definedName>
    <definedName name="AUTH">Requirements!$AF$2</definedName>
    <definedName name="AUTH_COPY">Requirements!$AU$2</definedName>
    <definedName name="AUTHOR">Requirements!$AF:$AF</definedName>
    <definedName name="AUTHOR_COPY">Requirements!$AU:$AU</definedName>
    <definedName name="CATEGORY">Parameters!$D$4:$D$23</definedName>
    <definedName name="CUSTOMER">Requirements!$AA:$AA</definedName>
    <definedName name="EMPTYCAT">Requirements!$D$2</definedName>
    <definedName name="EMPTYREQ">Requirements!$B$2</definedName>
    <definedName name="_xlnm.Extract" localSheetId="8">Green_Req!$A$1:$AE$1</definedName>
    <definedName name="FILEHOLD_REF">'Title &amp; Revision'!$B$13</definedName>
    <definedName name="FILTER">Requirements!$AR$2</definedName>
    <definedName name="HEADER_LINE">Requirements!$2:$2</definedName>
    <definedName name="HELP">Guidelines!$E$6</definedName>
    <definedName name="INHERITED">Requirements!$AC:$AC</definedName>
    <definedName name="LAST_AUTHOR">Admin!$C$10</definedName>
    <definedName name="LAST_SAVE">Admin!$C$8</definedName>
    <definedName name="LAST_SAVE_DATE">Requirements!$AT:$AT</definedName>
    <definedName name="LAST_UPDATE">Requirements!$AE:$AE</definedName>
    <definedName name="LAST_UPDATE_COPY">Requirements!$AS:$AS</definedName>
    <definedName name="PREFIX">Import_QC!$E$3</definedName>
    <definedName name="PRIORITY">Parameters!$C$4:$C$6</definedName>
    <definedName name="PRIORITY1">Requirements!$G:$G</definedName>
    <definedName name="PRIORITY10">Requirements!$Y:$Y</definedName>
    <definedName name="PRIORITY2">Requirements!$I:$I</definedName>
    <definedName name="PRIORITY3">Requirements!$K:$K</definedName>
    <definedName name="PRIORITY4">Requirements!$M:$M</definedName>
    <definedName name="PRIORITY5">Requirements!$O:$O</definedName>
    <definedName name="PRIORITY6">Requirements!$Q:$Q</definedName>
    <definedName name="PRIORITY7">Requirements!$S:$S</definedName>
    <definedName name="PRIORITY8">Requirements!$U:$U</definedName>
    <definedName name="PRIORITY9">Requirements!$W:$W</definedName>
    <definedName name="PRODUCT_LIST">Parameters!$R$4:$R$13</definedName>
    <definedName name="PRODUCT_NAME">Import_QC!$E$4</definedName>
    <definedName name="REQ.DESCRIPTION">Requirements!$F$2</definedName>
    <definedName name="REQ_BOTTOM_LINE">Requirements!$78:$78</definedName>
    <definedName name="REQ_FILTER">Requirements!$B$2:$AF$78</definedName>
    <definedName name="REQ_SHEET">Admin!$C$4</definedName>
    <definedName name="STATUS">Parameters!$B$4:$B$9</definedName>
    <definedName name="TEMP_VER_BOTTOM_LINE" localSheetId="7">'Template Revision'!$B$50</definedName>
    <definedName name="TEMPLATE_FILEHOLD_REF" localSheetId="7">'Template Revision'!$B$10</definedName>
    <definedName name="TRACK_UPDATES">Admin!$C$6</definedName>
    <definedName name="VER_BOTTOM_LINE">'Title &amp; Revision'!$B$28</definedName>
    <definedName name="VERSION">Requirements!$C:$C</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O3" i="11" l="1"/>
  <c r="R13" i="11" s="1"/>
  <c r="N3" i="11"/>
  <c r="R12" i="11" s="1"/>
  <c r="M3" i="11"/>
  <c r="R11" i="11" s="1"/>
  <c r="L3" i="11"/>
  <c r="R10" i="11" s="1"/>
  <c r="K3" i="11"/>
  <c r="R9" i="11" s="1"/>
  <c r="J3" i="11"/>
  <c r="R8" i="11" s="1"/>
  <c r="W1" i="17"/>
  <c r="X1" i="17"/>
  <c r="Y1" i="17"/>
  <c r="N1" i="17"/>
  <c r="O1" i="17"/>
  <c r="P1" i="17"/>
  <c r="Q1" i="17"/>
  <c r="R1" i="17"/>
  <c r="S1" i="17"/>
  <c r="T1" i="17"/>
  <c r="U1" i="17"/>
  <c r="V1" i="17"/>
  <c r="Z1" i="15"/>
  <c r="AA1" i="15"/>
  <c r="AB1" i="15"/>
  <c r="AC1" i="15"/>
  <c r="S1" i="15"/>
  <c r="T1" i="15"/>
  <c r="U1" i="15"/>
  <c r="V1" i="15"/>
  <c r="W1" i="15"/>
  <c r="X1" i="15"/>
  <c r="Y1" i="15"/>
  <c r="R1" i="15"/>
  <c r="AE10" i="10"/>
  <c r="AE9" i="10"/>
  <c r="AE8" i="10"/>
  <c r="AE7" i="10"/>
  <c r="AE5" i="10"/>
  <c r="AE4" i="10"/>
  <c r="AB30" i="10"/>
  <c r="AB29" i="10"/>
  <c r="AB28" i="10"/>
  <c r="AB27" i="10"/>
  <c r="AB25" i="10"/>
  <c r="AB24" i="10"/>
  <c r="AA23" i="10"/>
  <c r="AD23" i="10"/>
  <c r="AE30" i="10"/>
  <c r="AE29" i="10"/>
  <c r="AE28" i="10"/>
  <c r="AE27" i="10"/>
  <c r="AE25" i="10"/>
  <c r="AE24" i="10"/>
  <c r="AQ25" i="10"/>
  <c r="AQ5" i="10"/>
  <c r="AN5" i="10"/>
  <c r="AN25" i="10"/>
  <c r="AK25" i="10"/>
  <c r="AK5" i="10"/>
  <c r="AH5" i="10"/>
  <c r="AH25" i="10"/>
  <c r="AB5" i="10"/>
  <c r="Y25" i="10"/>
  <c r="Y5" i="10"/>
  <c r="V25" i="10"/>
  <c r="V5" i="10"/>
  <c r="S25" i="10"/>
  <c r="S5" i="10"/>
  <c r="AQ24" i="10"/>
  <c r="AQ4" i="10"/>
  <c r="AN4" i="10"/>
  <c r="AN24" i="10"/>
  <c r="AN26" i="10" s="1"/>
  <c r="AK24" i="10"/>
  <c r="AK4" i="10"/>
  <c r="AK6" i="10" s="1"/>
  <c r="AH24" i="10"/>
  <c r="AH4" i="10"/>
  <c r="AH6" i="10" s="1"/>
  <c r="AB4" i="10"/>
  <c r="Y24" i="10"/>
  <c r="Y4" i="10"/>
  <c r="V24" i="10"/>
  <c r="V4" i="10"/>
  <c r="S24" i="10"/>
  <c r="S4" i="10"/>
  <c r="P25" i="10"/>
  <c r="P24" i="10"/>
  <c r="P5" i="10"/>
  <c r="P4" i="10"/>
  <c r="AB10" i="10"/>
  <c r="AB9" i="10"/>
  <c r="AB8" i="10"/>
  <c r="AB7" i="10"/>
  <c r="AD3" i="10"/>
  <c r="AA3" i="10"/>
  <c r="AQ30" i="10"/>
  <c r="AN30" i="10"/>
  <c r="AK30" i="10"/>
  <c r="AH30" i="10"/>
  <c r="AQ29" i="10"/>
  <c r="AN29" i="10"/>
  <c r="AK29" i="10"/>
  <c r="AH29" i="10"/>
  <c r="AQ28" i="10"/>
  <c r="AN28" i="10"/>
  <c r="AK28" i="10"/>
  <c r="AH28" i="10"/>
  <c r="AQ27" i="10"/>
  <c r="AN27" i="10"/>
  <c r="AK27" i="10"/>
  <c r="AH27" i="10"/>
  <c r="AP23" i="10"/>
  <c r="AM23" i="10"/>
  <c r="AJ23" i="10"/>
  <c r="AG23" i="10"/>
  <c r="AQ10" i="10"/>
  <c r="AN10" i="10"/>
  <c r="AK10" i="10"/>
  <c r="AH10" i="10"/>
  <c r="AQ9" i="10"/>
  <c r="AN9" i="10"/>
  <c r="AK9" i="10"/>
  <c r="AH9" i="10"/>
  <c r="AQ8" i="10"/>
  <c r="AN8" i="10"/>
  <c r="AK8" i="10"/>
  <c r="AH8" i="10"/>
  <c r="AQ7" i="10"/>
  <c r="AN7" i="10"/>
  <c r="AK7" i="10"/>
  <c r="AH7" i="10"/>
  <c r="AP3" i="10"/>
  <c r="AM3" i="10"/>
  <c r="AJ3" i="10"/>
  <c r="AG3" i="10"/>
  <c r="AQ26" i="10"/>
  <c r="AN6" i="10"/>
  <c r="AK26" i="10"/>
  <c r="AB26" i="10"/>
  <c r="Y29" i="10"/>
  <c r="V29" i="10"/>
  <c r="S29" i="10"/>
  <c r="P29" i="10"/>
  <c r="X23" i="10"/>
  <c r="U23" i="10"/>
  <c r="R23" i="10"/>
  <c r="O23" i="10"/>
  <c r="X3" i="10"/>
  <c r="U3" i="10"/>
  <c r="R3" i="10"/>
  <c r="O3" i="10"/>
  <c r="G1" i="17"/>
  <c r="H1" i="17"/>
  <c r="I1" i="17"/>
  <c r="J1" i="17"/>
  <c r="K1" i="17"/>
  <c r="L1" i="17"/>
  <c r="M1" i="17"/>
  <c r="F1" i="17"/>
  <c r="L1" i="15"/>
  <c r="M1" i="15"/>
  <c r="N1" i="15"/>
  <c r="O1" i="15"/>
  <c r="P1" i="15"/>
  <c r="Q1" i="15"/>
  <c r="K1" i="15"/>
  <c r="J1" i="15"/>
  <c r="I3" i="11"/>
  <c r="R7" i="11" s="1"/>
  <c r="H3" i="11"/>
  <c r="R6" i="11" s="1"/>
  <c r="G3" i="11"/>
  <c r="R5" i="11" s="1"/>
  <c r="F3" i="11"/>
  <c r="R4" i="11" s="1"/>
  <c r="V30" i="10"/>
  <c r="V28" i="10"/>
  <c r="V27" i="10"/>
  <c r="Y30" i="10"/>
  <c r="Y28" i="10"/>
  <c r="Y27" i="10"/>
  <c r="Y10" i="10"/>
  <c r="Y9" i="10"/>
  <c r="Y8" i="10"/>
  <c r="Y7" i="10"/>
  <c r="V10" i="10"/>
  <c r="V9" i="10"/>
  <c r="V8" i="10"/>
  <c r="V7" i="10"/>
  <c r="S10" i="10"/>
  <c r="P10" i="10"/>
  <c r="S30" i="10"/>
  <c r="P30" i="10"/>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4" i="15"/>
  <c r="C454" i="15"/>
  <c r="B455" i="15"/>
  <c r="C455" i="15"/>
  <c r="B456" i="15"/>
  <c r="C456" i="15"/>
  <c r="B457" i="15"/>
  <c r="C457" i="15"/>
  <c r="B458" i="15"/>
  <c r="C458" i="15"/>
  <c r="B459" i="15"/>
  <c r="C459" i="15"/>
  <c r="B460" i="15"/>
  <c r="C460" i="15"/>
  <c r="B461" i="15"/>
  <c r="C461" i="15"/>
  <c r="B462" i="15"/>
  <c r="C462" i="15"/>
  <c r="B463" i="15"/>
  <c r="C463" i="15"/>
  <c r="B464" i="15"/>
  <c r="C464"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B479" i="15"/>
  <c r="C479" i="15"/>
  <c r="B480" i="15"/>
  <c r="C480" i="15"/>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E23" i="15"/>
  <c r="E22" i="15"/>
  <c r="E21" i="15"/>
  <c r="E20" i="15"/>
  <c r="AR78" i="1"/>
  <c r="AS78" i="1"/>
  <c r="S28" i="10"/>
  <c r="P28" i="10"/>
  <c r="P8" i="10"/>
  <c r="S8" i="10"/>
  <c r="C23" i="15"/>
  <c r="C22" i="15"/>
  <c r="C21" i="15"/>
  <c r="C20" i="15"/>
  <c r="C19" i="15"/>
  <c r="C18" i="15"/>
  <c r="C17" i="15"/>
  <c r="C16" i="15"/>
  <c r="C15" i="15"/>
  <c r="C14" i="15"/>
  <c r="C13" i="15"/>
  <c r="C12" i="15"/>
  <c r="C11" i="15"/>
  <c r="C10" i="15"/>
  <c r="C9" i="15"/>
  <c r="C8" i="15"/>
  <c r="C7" i="15"/>
  <c r="C6" i="15"/>
  <c r="C5" i="15"/>
  <c r="E19" i="15"/>
  <c r="E18" i="15"/>
  <c r="E17" i="15"/>
  <c r="E15" i="15"/>
  <c r="E14" i="15"/>
  <c r="E13" i="15"/>
  <c r="E12" i="15"/>
  <c r="E11" i="15"/>
  <c r="E10" i="15"/>
  <c r="E9" i="15"/>
  <c r="E8" i="15"/>
  <c r="E7" i="15"/>
  <c r="E16" i="15"/>
  <c r="E6" i="15"/>
  <c r="E5" i="15"/>
  <c r="S27" i="10"/>
  <c r="P27" i="10"/>
  <c r="S9" i="10"/>
  <c r="S7" i="10"/>
  <c r="P9" i="10"/>
  <c r="P7" i="10"/>
  <c r="C198" i="15"/>
  <c r="B198" i="15"/>
  <c r="C197" i="15"/>
  <c r="B197" i="15"/>
  <c r="C196" i="15"/>
  <c r="B196" i="15"/>
  <c r="C195" i="15"/>
  <c r="B195" i="15"/>
  <c r="C194" i="15"/>
  <c r="B194" i="15"/>
  <c r="C193" i="15"/>
  <c r="B193" i="15"/>
  <c r="C192" i="15"/>
  <c r="B192" i="15"/>
  <c r="C191" i="15"/>
  <c r="B191" i="15"/>
  <c r="C190" i="15"/>
  <c r="B190" i="15"/>
  <c r="C189" i="15"/>
  <c r="B189" i="15"/>
  <c r="C188" i="15"/>
  <c r="B188" i="15"/>
  <c r="C187" i="15"/>
  <c r="B187" i="15"/>
  <c r="C186" i="15"/>
  <c r="B186" i="15"/>
  <c r="C185" i="15"/>
  <c r="B185" i="15"/>
  <c r="C184" i="15"/>
  <c r="B184" i="15"/>
  <c r="C183" i="15"/>
  <c r="B183" i="15"/>
  <c r="C182" i="15"/>
  <c r="B182" i="15"/>
  <c r="C181" i="15"/>
  <c r="B181" i="15"/>
  <c r="C180" i="15"/>
  <c r="B180" i="15"/>
  <c r="C179" i="15"/>
  <c r="B179" i="15"/>
  <c r="C178" i="15"/>
  <c r="B178" i="15"/>
  <c r="C177" i="15"/>
  <c r="B177" i="15"/>
  <c r="C176" i="15"/>
  <c r="B176" i="15"/>
  <c r="C175" i="15"/>
  <c r="B175" i="15"/>
  <c r="C174" i="15"/>
  <c r="B174" i="15"/>
  <c r="C173" i="15"/>
  <c r="B173" i="15"/>
  <c r="C172" i="15"/>
  <c r="B172" i="15"/>
  <c r="C171" i="15"/>
  <c r="B171" i="15"/>
  <c r="C170" i="15"/>
  <c r="B170" i="15"/>
  <c r="C169" i="15"/>
  <c r="B169" i="15"/>
  <c r="C168" i="15"/>
  <c r="B168" i="15"/>
  <c r="C167" i="15"/>
  <c r="B167" i="15"/>
  <c r="C166" i="15"/>
  <c r="B166" i="15"/>
  <c r="C165" i="15"/>
  <c r="B165" i="15"/>
  <c r="C164" i="15"/>
  <c r="B164" i="15"/>
  <c r="C163" i="15"/>
  <c r="B163" i="15"/>
  <c r="C162" i="15"/>
  <c r="B162" i="15"/>
  <c r="C161" i="15"/>
  <c r="B161" i="15"/>
  <c r="C160" i="15"/>
  <c r="B160" i="15"/>
  <c r="C159" i="15"/>
  <c r="B159" i="15"/>
  <c r="C158" i="15"/>
  <c r="B158" i="15"/>
  <c r="C157" i="15"/>
  <c r="B157" i="15"/>
  <c r="C156" i="15"/>
  <c r="B156" i="15"/>
  <c r="C155" i="15"/>
  <c r="B155" i="15"/>
  <c r="C154" i="15"/>
  <c r="B154" i="15"/>
  <c r="C153" i="15"/>
  <c r="B153" i="15"/>
  <c r="C152" i="15"/>
  <c r="B152" i="15"/>
  <c r="C151" i="15"/>
  <c r="B151" i="15"/>
  <c r="C150" i="15"/>
  <c r="B150" i="15"/>
  <c r="C149" i="15"/>
  <c r="B149" i="15"/>
  <c r="C148" i="15"/>
  <c r="B148" i="15"/>
  <c r="C147" i="15"/>
  <c r="B147" i="15"/>
  <c r="C146" i="15"/>
  <c r="B146" i="15"/>
  <c r="C145" i="15"/>
  <c r="B145" i="15"/>
  <c r="C144" i="15"/>
  <c r="B144" i="15"/>
  <c r="C143" i="15"/>
  <c r="B143" i="15"/>
  <c r="C142" i="15"/>
  <c r="B142" i="15"/>
  <c r="C141" i="15"/>
  <c r="B141" i="15"/>
  <c r="C140" i="15"/>
  <c r="B140" i="15"/>
  <c r="C139" i="15"/>
  <c r="B139" i="15"/>
  <c r="C138" i="15"/>
  <c r="B138" i="15"/>
  <c r="C137" i="15"/>
  <c r="B137" i="15"/>
  <c r="C136" i="15"/>
  <c r="B136" i="15"/>
  <c r="C135" i="15"/>
  <c r="B135" i="15"/>
  <c r="C134" i="15"/>
  <c r="B134" i="15"/>
  <c r="C133" i="15"/>
  <c r="B133" i="15"/>
  <c r="C132" i="15"/>
  <c r="B132" i="15"/>
  <c r="C131" i="15"/>
  <c r="B131" i="15"/>
  <c r="C130" i="15"/>
  <c r="B130" i="15"/>
  <c r="C129" i="15"/>
  <c r="B129" i="15"/>
  <c r="C128" i="15"/>
  <c r="B128" i="15"/>
  <c r="C127" i="15"/>
  <c r="B127" i="15"/>
  <c r="C126" i="15"/>
  <c r="B126" i="15"/>
  <c r="C125" i="15"/>
  <c r="B125" i="15"/>
  <c r="C124" i="15"/>
  <c r="B124" i="15"/>
  <c r="C123" i="15"/>
  <c r="B123" i="15"/>
  <c r="C122" i="15"/>
  <c r="B122" i="15"/>
  <c r="C121" i="15"/>
  <c r="B121" i="15"/>
  <c r="C120" i="15"/>
  <c r="B120" i="15"/>
  <c r="C119" i="15"/>
  <c r="B119" i="15"/>
  <c r="C118" i="15"/>
  <c r="B118" i="15"/>
  <c r="C117" i="15"/>
  <c r="B117" i="15"/>
  <c r="C116" i="15"/>
  <c r="B116" i="15"/>
  <c r="C115" i="15"/>
  <c r="B115" i="15"/>
  <c r="C114" i="15"/>
  <c r="B114" i="15"/>
  <c r="C113" i="15"/>
  <c r="B113" i="15"/>
  <c r="C112" i="15"/>
  <c r="B112" i="15"/>
  <c r="C111" i="15"/>
  <c r="B111" i="15"/>
  <c r="C110" i="15"/>
  <c r="B110" i="15"/>
  <c r="C109" i="15"/>
  <c r="B109" i="15"/>
  <c r="C108" i="15"/>
  <c r="B108" i="15"/>
  <c r="C107" i="15"/>
  <c r="B107" i="15"/>
  <c r="C106" i="15"/>
  <c r="B106" i="15"/>
  <c r="C105" i="15"/>
  <c r="B105" i="15"/>
  <c r="C104" i="15"/>
  <c r="B104" i="15"/>
  <c r="C103" i="15"/>
  <c r="B103" i="15"/>
  <c r="C102" i="15"/>
  <c r="B102" i="15"/>
  <c r="C101" i="15"/>
  <c r="B101" i="15"/>
  <c r="C100" i="15"/>
  <c r="B100" i="15"/>
  <c r="C99" i="15"/>
  <c r="B99" i="15"/>
  <c r="C98" i="15"/>
  <c r="B98" i="15"/>
  <c r="C97" i="15"/>
  <c r="B97" i="15"/>
  <c r="C96" i="15"/>
  <c r="B96" i="15"/>
  <c r="C95" i="15"/>
  <c r="B95" i="15"/>
  <c r="C94" i="15"/>
  <c r="B94" i="15"/>
  <c r="C93" i="15"/>
  <c r="B93" i="15"/>
  <c r="C92" i="15"/>
  <c r="B92" i="15"/>
  <c r="C91" i="15"/>
  <c r="B91" i="15"/>
  <c r="C90" i="15"/>
  <c r="B90" i="15"/>
  <c r="C89" i="15"/>
  <c r="B89" i="15"/>
  <c r="C88" i="15"/>
  <c r="B88" i="15"/>
  <c r="C87" i="15"/>
  <c r="B87" i="15"/>
  <c r="C86" i="15"/>
  <c r="B86" i="15"/>
  <c r="C85" i="15"/>
  <c r="B85" i="15"/>
  <c r="C84" i="15"/>
  <c r="B84" i="15"/>
  <c r="C83" i="15"/>
  <c r="B83" i="15"/>
  <c r="C82" i="15"/>
  <c r="B82" i="15"/>
  <c r="C81" i="15"/>
  <c r="B81" i="15"/>
  <c r="C80" i="15"/>
  <c r="B80" i="15"/>
  <c r="C79" i="15"/>
  <c r="B79" i="15"/>
  <c r="C78" i="15"/>
  <c r="B78" i="15"/>
  <c r="C77" i="15"/>
  <c r="B77" i="15"/>
  <c r="C76" i="15"/>
  <c r="B76" i="15"/>
  <c r="C75" i="15"/>
  <c r="B75" i="15"/>
  <c r="C74" i="15"/>
  <c r="B74" i="15"/>
  <c r="C73" i="15"/>
  <c r="B73" i="15"/>
  <c r="C72" i="15"/>
  <c r="B72" i="15"/>
  <c r="C71" i="15"/>
  <c r="B71" i="15"/>
  <c r="C70" i="15"/>
  <c r="B70" i="15"/>
  <c r="C69" i="15"/>
  <c r="B69" i="15"/>
  <c r="C68" i="15"/>
  <c r="B68" i="15"/>
  <c r="C67" i="15"/>
  <c r="B67" i="15"/>
  <c r="C66" i="15"/>
  <c r="B66" i="15"/>
  <c r="C65" i="15"/>
  <c r="B65" i="15"/>
  <c r="C64" i="15"/>
  <c r="B64" i="15"/>
  <c r="C63" i="15"/>
  <c r="B63" i="15"/>
  <c r="C62" i="15"/>
  <c r="B62" i="15"/>
  <c r="C61" i="15"/>
  <c r="B61" i="15"/>
  <c r="C60" i="15"/>
  <c r="B60" i="15"/>
  <c r="C59" i="15"/>
  <c r="B59" i="15"/>
  <c r="C58" i="15"/>
  <c r="B58" i="15"/>
  <c r="C57" i="15"/>
  <c r="B57" i="15"/>
  <c r="C56" i="15"/>
  <c r="B56" i="15"/>
  <c r="C55" i="15"/>
  <c r="B55" i="15"/>
  <c r="C54" i="15"/>
  <c r="B54" i="15"/>
  <c r="C53" i="15"/>
  <c r="B53" i="15"/>
  <c r="C52" i="15"/>
  <c r="B52" i="15"/>
  <c r="C51" i="15"/>
  <c r="B51" i="15"/>
  <c r="C50" i="15"/>
  <c r="B50" i="15"/>
  <c r="C49" i="15"/>
  <c r="B49" i="15"/>
  <c r="C48" i="15"/>
  <c r="B48" i="15"/>
  <c r="C47" i="15"/>
  <c r="B47" i="15"/>
  <c r="C46" i="15"/>
  <c r="B46" i="15"/>
  <c r="C45" i="15"/>
  <c r="B45" i="15"/>
  <c r="C44" i="15"/>
  <c r="B44" i="15"/>
  <c r="C43" i="15"/>
  <c r="B43" i="15"/>
  <c r="C42" i="15"/>
  <c r="B42" i="15"/>
  <c r="C41" i="15"/>
  <c r="B41" i="15"/>
  <c r="C40" i="15"/>
  <c r="B40" i="15"/>
  <c r="C39" i="15"/>
  <c r="B39" i="15"/>
  <c r="C38" i="15"/>
  <c r="B38" i="15"/>
  <c r="C37" i="15"/>
  <c r="B37" i="15"/>
  <c r="C36" i="15"/>
  <c r="B36" i="15"/>
  <c r="C35" i="15"/>
  <c r="B35" i="15"/>
  <c r="C34" i="15"/>
  <c r="B34" i="15"/>
  <c r="C33" i="15"/>
  <c r="B33" i="15"/>
  <c r="C32" i="15"/>
  <c r="B32" i="15"/>
  <c r="C31" i="15"/>
  <c r="B31" i="15"/>
  <c r="C30" i="15"/>
  <c r="B30" i="15"/>
  <c r="C29" i="15"/>
  <c r="B29" i="15"/>
  <c r="C28" i="15"/>
  <c r="B28" i="15"/>
  <c r="B27" i="15"/>
  <c r="B26" i="15"/>
  <c r="B25" i="15"/>
  <c r="B24" i="15"/>
  <c r="C4" i="15"/>
  <c r="B3" i="15"/>
  <c r="C25" i="15"/>
  <c r="C26" i="15"/>
  <c r="C24" i="15"/>
  <c r="C27" i="15"/>
  <c r="AB6" i="10" l="1"/>
  <c r="AE6" i="10"/>
  <c r="AQ6" i="10"/>
  <c r="AH26" i="10"/>
  <c r="AE26" i="10"/>
  <c r="V26" i="10"/>
  <c r="Y6" i="10"/>
  <c r="V6" i="10"/>
  <c r="S26" i="10"/>
  <c r="Y26" i="10"/>
  <c r="S6" i="10"/>
  <c r="M25" i="10"/>
  <c r="P6" i="10"/>
  <c r="M27" i="10"/>
  <c r="M29" i="10"/>
  <c r="M9" i="10"/>
  <c r="M4" i="10"/>
  <c r="M8" i="10"/>
  <c r="M30" i="10"/>
  <c r="M7" i="10"/>
  <c r="M5" i="10"/>
  <c r="P26" i="10"/>
  <c r="M28" i="10"/>
  <c r="M10" i="10"/>
  <c r="M24" i="10"/>
  <c r="M26" i="10" l="1"/>
  <c r="M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SUIRE Jacques</author>
    <author>LEJAY Fréderic</author>
    <author>BARATAUD Thomas</author>
  </authors>
  <commentList>
    <comment ref="B2" authorId="0" shapeId="0" xr:uid="{00000000-0006-0000-0100-000001000000}">
      <text>
        <r>
          <rPr>
            <b/>
            <sz val="8"/>
            <color indexed="81"/>
            <rFont val="Tahoma"/>
            <family val="2"/>
          </rPr>
          <t>Put a unique identifier for each requirement of each Category. 
The format to use is XX.YY
The first digits (XX) shall be the same as the Category digits</t>
        </r>
        <r>
          <rPr>
            <sz val="8"/>
            <color indexed="81"/>
            <rFont val="Tahoma"/>
            <family val="2"/>
          </rPr>
          <t xml:space="preserve">
</t>
        </r>
        <r>
          <rPr>
            <b/>
            <sz val="8"/>
            <color indexed="81"/>
            <rFont val="Tahoma"/>
            <family val="2"/>
          </rPr>
          <t xml:space="preserve">
If you have requirements and sub-requirements, use 05.01.01, 05.01.02 format</t>
        </r>
      </text>
    </comment>
    <comment ref="C2" authorId="0" shapeId="0" xr:uid="{00000000-0006-0000-0100-000002000000}">
      <text>
        <r>
          <rPr>
            <b/>
            <sz val="8"/>
            <color indexed="81"/>
            <rFont val="Tahoma"/>
            <family val="2"/>
          </rPr>
          <t>Each information updated in the line automatically increases the version number
If you update several cells of the same requirement, the version is increased only once</t>
        </r>
        <r>
          <rPr>
            <sz val="8"/>
            <color indexed="81"/>
            <rFont val="Tahoma"/>
            <family val="2"/>
          </rPr>
          <t xml:space="preserve">
</t>
        </r>
        <r>
          <rPr>
            <b/>
            <u/>
            <sz val="8"/>
            <color indexed="48"/>
            <rFont val="Tahoma"/>
            <family val="2"/>
          </rPr>
          <t>After a save of the file, any new update will increase the version number again</t>
        </r>
      </text>
    </comment>
    <comment ref="D2" authorId="1" shapeId="0" xr:uid="{00000000-0006-0000-0100-000003000000}">
      <text>
        <r>
          <rPr>
            <b/>
            <sz val="8"/>
            <color indexed="48"/>
            <rFont val="Tahoma"/>
            <family val="2"/>
          </rPr>
          <t>01 - Air Interfaces &amp; Technologies:</t>
        </r>
        <r>
          <rPr>
            <sz val="8"/>
            <color indexed="81"/>
            <rFont val="Tahoma"/>
            <family val="2"/>
          </rPr>
          <t xml:space="preserve"> 2G, 3G, 4G, CDMA, GNSS, 802.11 ...</t>
        </r>
        <r>
          <rPr>
            <b/>
            <sz val="8"/>
            <color indexed="81"/>
            <rFont val="Tahoma"/>
            <family val="2"/>
          </rPr>
          <t xml:space="preserve">
</t>
        </r>
        <r>
          <rPr>
            <b/>
            <sz val="8"/>
            <color indexed="48"/>
            <rFont val="Tahoma"/>
            <family val="2"/>
          </rPr>
          <t xml:space="preserve">
02 - HW Interfaces:</t>
        </r>
        <r>
          <rPr>
            <sz val="8"/>
            <color indexed="81"/>
            <rFont val="Tahoma"/>
            <family val="2"/>
          </rPr>
          <t xml:space="preserve"> IO, buses, antennas</t>
        </r>
        <r>
          <rPr>
            <b/>
            <sz val="8"/>
            <color indexed="48"/>
            <rFont val="Tahoma"/>
            <family val="2"/>
          </rPr>
          <t xml:space="preserve">
03 - Chipset/Component Selection: </t>
        </r>
        <r>
          <rPr>
            <sz val="8"/>
            <color indexed="81"/>
            <rFont val="Tahoma"/>
            <family val="2"/>
          </rPr>
          <t>Critical component selection, memory size ...</t>
        </r>
        <r>
          <rPr>
            <b/>
            <sz val="8"/>
            <color indexed="48"/>
            <rFont val="Tahoma"/>
            <family val="2"/>
          </rPr>
          <t xml:space="preserve">
04 - Embedded SW:</t>
        </r>
        <r>
          <rPr>
            <sz val="8"/>
            <color indexed="81"/>
            <rFont val="Tahoma"/>
            <family val="2"/>
          </rPr>
          <t xml:space="preserve"> any SW running into SWIR module, API to drive the product (AT, Open AT ADL, QMI ...)</t>
        </r>
        <r>
          <rPr>
            <b/>
            <sz val="8"/>
            <color indexed="48"/>
            <rFont val="Tahoma"/>
            <family val="2"/>
          </rPr>
          <t xml:space="preserve">
05 - IDE, PC tools and drivers:</t>
        </r>
        <r>
          <rPr>
            <sz val="8"/>
            <color indexed="81"/>
            <rFont val="Tahoma"/>
            <family val="2"/>
          </rPr>
          <t xml:space="preserve"> any tool or driver running on a PC (OS: Windows XP, Vista, 7, 8...)
</t>
        </r>
        <r>
          <rPr>
            <b/>
            <sz val="8"/>
            <color indexed="48"/>
            <rFont val="Tahoma"/>
            <family val="2"/>
          </rPr>
          <t xml:space="preserve">
06 - Host SW and drivers: </t>
        </r>
        <r>
          <rPr>
            <sz val="8"/>
            <color indexed="81"/>
            <rFont val="Tahoma"/>
            <family val="2"/>
          </rPr>
          <t xml:space="preserve">any SW running on an embedded host processor such as TI OMAP, freescale...
</t>
        </r>
        <r>
          <rPr>
            <b/>
            <sz val="8"/>
            <color indexed="48"/>
            <rFont val="Tahoma"/>
            <family val="2"/>
          </rPr>
          <t>07 - Cloud Platform:</t>
        </r>
        <r>
          <rPr>
            <sz val="8"/>
            <color indexed="81"/>
            <rFont val="Tahoma"/>
            <family val="2"/>
          </rPr>
          <t xml:space="preserve"> service platform or portal to remotely control a set of devices and applications</t>
        </r>
        <r>
          <rPr>
            <b/>
            <sz val="8"/>
            <color indexed="48"/>
            <rFont val="Tahoma"/>
            <family val="2"/>
          </rPr>
          <t xml:space="preserve">
08 - Compatibility: </t>
        </r>
        <r>
          <rPr>
            <sz val="8"/>
            <color indexed="81"/>
            <rFont val="Tahoma"/>
            <family val="2"/>
          </rPr>
          <t xml:space="preserve">list of compatible module, list of compatible SW tools or components (including versions)
 </t>
        </r>
        <r>
          <rPr>
            <b/>
            <sz val="8"/>
            <color indexed="48"/>
            <rFont val="Tahoma"/>
            <family val="2"/>
          </rPr>
          <t xml:space="preserve">
09 - Performances: </t>
        </r>
        <r>
          <rPr>
            <sz val="8"/>
            <color indexed="81"/>
            <rFont val="Tahoma"/>
            <family val="2"/>
          </rPr>
          <t>throughputs, sensibility, power consumption, MIPS, boot time, VDA ...</t>
        </r>
        <r>
          <rPr>
            <b/>
            <sz val="8"/>
            <color indexed="48"/>
            <rFont val="Tahoma"/>
            <family val="2"/>
          </rPr>
          <t xml:space="preserve">
10 - Regulatory App. &amp; Env. Compliance: </t>
        </r>
        <r>
          <rPr>
            <sz val="8"/>
            <color indexed="81"/>
            <rFont val="Tahoma"/>
            <family val="2"/>
          </rPr>
          <t>GCF, FCC...</t>
        </r>
        <r>
          <rPr>
            <b/>
            <sz val="8"/>
            <color indexed="48"/>
            <rFont val="Tahoma"/>
            <family val="2"/>
          </rPr>
          <t xml:space="preserve">
11 - Target Carriers &amp; Market: </t>
        </r>
        <r>
          <rPr>
            <sz val="8"/>
            <color indexed="81"/>
            <rFont val="Tahoma"/>
            <family val="2"/>
          </rPr>
          <t>carrier approval (AT&amp;T, VZW, sprint...), segment market (automotive, energy ...)</t>
        </r>
        <r>
          <rPr>
            <b/>
            <sz val="8"/>
            <color indexed="48"/>
            <rFont val="Tahoma"/>
            <family val="2"/>
          </rPr>
          <t xml:space="preserve">
12 - Product Costing: </t>
        </r>
        <r>
          <rPr>
            <sz val="8"/>
            <color indexed="81"/>
            <rFont val="Tahoma"/>
            <family val="2"/>
          </rPr>
          <t>product cost structure inc. BOM, FAMC...</t>
        </r>
        <r>
          <rPr>
            <b/>
            <sz val="8"/>
            <color indexed="48"/>
            <rFont val="Tahoma"/>
            <family val="2"/>
          </rPr>
          <t xml:space="preserve">
13 - Mechanical/Environmental/Reliability: </t>
        </r>
        <r>
          <rPr>
            <sz val="8"/>
            <color indexed="81"/>
            <rFont val="Tahoma"/>
            <family val="2"/>
          </rPr>
          <t>dimensions, temperature range, Automotive1000, product life duration</t>
        </r>
        <r>
          <rPr>
            <b/>
            <sz val="8"/>
            <color indexed="48"/>
            <rFont val="Tahoma"/>
            <family val="2"/>
          </rPr>
          <t xml:space="preserve">
14 - Manufacturing and Quality: </t>
        </r>
        <r>
          <rPr>
            <sz val="8"/>
            <color indexed="81"/>
            <rFont val="Tahoma"/>
            <family val="2"/>
          </rPr>
          <t>ppm, FMEA, PPAP, manufacturing tests, SKU, repair strategy  ...</t>
        </r>
        <r>
          <rPr>
            <b/>
            <sz val="8"/>
            <color indexed="48"/>
            <rFont val="Tahoma"/>
            <family val="2"/>
          </rPr>
          <t xml:space="preserve">
15 - Packaging: </t>
        </r>
        <r>
          <rPr>
            <sz val="8"/>
            <color indexed="81"/>
            <rFont val="Tahoma"/>
            <family val="2"/>
          </rPr>
          <t xml:space="preserve">deliverable presentation (SW installer with click-wrap license...)
</t>
        </r>
        <r>
          <rPr>
            <b/>
            <sz val="8"/>
            <color indexed="81"/>
            <rFont val="Tahoma"/>
            <family val="2"/>
          </rPr>
          <t xml:space="preserve">
</t>
        </r>
        <r>
          <rPr>
            <b/>
            <sz val="8"/>
            <color indexed="48"/>
            <rFont val="Tahoma"/>
            <family val="2"/>
          </rPr>
          <t>16 - Documentation:</t>
        </r>
        <r>
          <rPr>
            <b/>
            <sz val="8"/>
            <color indexed="81"/>
            <rFont val="Tahoma"/>
            <family val="2"/>
          </rPr>
          <t xml:space="preserve"> </t>
        </r>
        <r>
          <rPr>
            <sz val="8"/>
            <color indexed="81"/>
            <rFont val="Tahoma"/>
            <family val="2"/>
          </rPr>
          <t>customer documentation (PTS, SW user guide, application notes, release notes...)</t>
        </r>
        <r>
          <rPr>
            <b/>
            <sz val="8"/>
            <color indexed="81"/>
            <rFont val="Tahoma"/>
            <family val="2"/>
          </rPr>
          <t xml:space="preserve">
</t>
        </r>
        <r>
          <rPr>
            <b/>
            <sz val="8"/>
            <color indexed="48"/>
            <rFont val="Tahoma"/>
            <family val="2"/>
          </rPr>
          <t>17 - Training:</t>
        </r>
        <r>
          <rPr>
            <sz val="8"/>
            <color indexed="81"/>
            <rFont val="Tahoma"/>
            <family val="2"/>
          </rPr>
          <t xml:space="preserve"> training for internal support team</t>
        </r>
        <r>
          <rPr>
            <b/>
            <sz val="8"/>
            <color indexed="81"/>
            <rFont val="Tahoma"/>
            <family val="2"/>
          </rPr>
          <t xml:space="preserve">
</t>
        </r>
        <r>
          <rPr>
            <b/>
            <sz val="8"/>
            <color indexed="48"/>
            <rFont val="Tahoma"/>
            <family val="2"/>
          </rPr>
          <t>18 - Development Kit</t>
        </r>
        <r>
          <rPr>
            <b/>
            <sz val="8"/>
            <color indexed="81"/>
            <rFont val="Tahoma"/>
            <family val="2"/>
          </rPr>
          <t>:</t>
        </r>
        <r>
          <rPr>
            <sz val="8"/>
            <color indexed="81"/>
            <rFont val="Tahoma"/>
            <family val="2"/>
          </rPr>
          <t xml:space="preserve"> HW development kit board description</t>
        </r>
        <r>
          <rPr>
            <b/>
            <sz val="8"/>
            <color indexed="81"/>
            <rFont val="Tahoma"/>
            <family val="2"/>
          </rPr>
          <t xml:space="preserve">
</t>
        </r>
        <r>
          <rPr>
            <b/>
            <sz val="8"/>
            <color indexed="48"/>
            <rFont val="Tahoma"/>
            <family val="2"/>
          </rPr>
          <t>19 - Customer Milestones</t>
        </r>
        <r>
          <rPr>
            <b/>
            <sz val="8"/>
            <color indexed="81"/>
            <rFont val="Tahoma"/>
            <family val="2"/>
          </rPr>
          <t>:</t>
        </r>
        <r>
          <rPr>
            <sz val="8"/>
            <color indexed="81"/>
            <rFont val="Tahoma"/>
            <family val="2"/>
          </rPr>
          <t xml:space="preserve"> main customer milestones (DV, PV, PP, alpha release, beta release, official release...)
</t>
        </r>
        <r>
          <rPr>
            <b/>
            <sz val="8"/>
            <color indexed="48"/>
            <rFont val="Tahoma"/>
            <family val="2"/>
          </rPr>
          <t>20 - Use Case:</t>
        </r>
        <r>
          <rPr>
            <sz val="8"/>
            <color indexed="81"/>
            <rFont val="Tahoma"/>
            <family val="2"/>
          </rPr>
          <t xml:space="preserve"> description of key customer use case
</t>
        </r>
        <r>
          <rPr>
            <b/>
            <sz val="8"/>
            <color indexed="81"/>
            <rFont val="Tahoma"/>
            <family val="2"/>
          </rPr>
          <t>Always try to fit in one of the existing categories.
In case you cannot find a suitable category, update the "Parameters" sheet by adding the missing category at the end of the list AND send an email to the SPEG team who will determine if the template shall be updated.</t>
        </r>
      </text>
    </comment>
    <comment ref="E2" authorId="0" shapeId="0" xr:uid="{00000000-0006-0000-0100-000004000000}">
      <text>
        <r>
          <rPr>
            <b/>
            <sz val="8"/>
            <color indexed="81"/>
            <rFont val="Tahoma"/>
            <family val="2"/>
          </rPr>
          <t>Insert a summary of the requirement.
This is a free text field</t>
        </r>
      </text>
    </comment>
    <comment ref="F2" authorId="0" shapeId="0" xr:uid="{00000000-0006-0000-0100-000005000000}">
      <text>
        <r>
          <rPr>
            <b/>
            <sz val="8"/>
            <color indexed="81"/>
            <rFont val="Tahoma"/>
            <family val="2"/>
          </rPr>
          <t>Insert a complete and unambiguous requirement description to allow workload estimate.
Use of "should" and "must" within the Requirement shall observe the following rules:</t>
        </r>
        <r>
          <rPr>
            <sz val="8"/>
            <color indexed="81"/>
            <rFont val="Tahoma"/>
            <family val="2"/>
          </rPr>
          <t xml:space="preserve">
</t>
        </r>
        <r>
          <rPr>
            <b/>
            <sz val="8"/>
            <color indexed="48"/>
            <rFont val="Tahoma"/>
            <family val="2"/>
          </rPr>
          <t>- The word SHOULD in the text expresses a recommendation or advice on implementing such a requirement of the Specification. The Requester expects such recommendations or advice to be followed unless good reasons are stated for not doing so
- The word MUST in the text is used for legislative or regulatory requirements (e.g. Health and Safety) with which both the Requester and the Supplier shall comply. It is not used to express a requirement of the Specification</t>
        </r>
      </text>
    </comment>
    <comment ref="G2" authorId="0" shapeId="0" xr:uid="{00000000-0006-0000-0100-000006000000}">
      <text>
        <r>
          <rPr>
            <b/>
            <sz val="8"/>
            <color indexed="81"/>
            <rFont val="Tahoma"/>
            <family val="2"/>
          </rPr>
          <t>Select the priority of the requirement</t>
        </r>
        <r>
          <rPr>
            <sz val="8"/>
            <color indexed="81"/>
            <rFont val="Tahoma"/>
            <family val="2"/>
          </rPr>
          <t xml:space="preserve">
</t>
        </r>
        <r>
          <rPr>
            <b/>
            <sz val="8"/>
            <color indexed="48"/>
            <rFont val="Tahoma"/>
            <family val="2"/>
          </rPr>
          <t xml:space="preserve">1. MUST: the cell is dark blue
</t>
        </r>
        <r>
          <rPr>
            <b/>
            <sz val="8"/>
            <color indexed="44"/>
            <rFont val="Tahoma"/>
            <family val="2"/>
          </rPr>
          <t>2. SHOULD: the cell is light blue</t>
        </r>
        <r>
          <rPr>
            <b/>
            <sz val="8"/>
            <color indexed="48"/>
            <rFont val="Tahoma"/>
            <family val="2"/>
          </rPr>
          <t xml:space="preserve">
</t>
        </r>
        <r>
          <rPr>
            <b/>
            <sz val="8"/>
            <color indexed="55"/>
            <rFont val="Tahoma"/>
            <family val="2"/>
          </rPr>
          <t>3. N/A: the cell is grey</t>
        </r>
      </text>
    </comment>
    <comment ref="H2" authorId="0" shapeId="0" xr:uid="{00000000-0006-0000-0100-000007000000}">
      <text>
        <r>
          <rPr>
            <b/>
            <sz val="8"/>
            <color indexed="81"/>
            <rFont val="Tahoma"/>
            <family val="2"/>
          </rPr>
          <t xml:space="preserve">Select the engineering answer
If a requirement is not understood or cannot be completely fulfilled select REJECTED and update Comment
</t>
        </r>
        <r>
          <rPr>
            <b/>
            <sz val="8"/>
            <color indexed="10"/>
            <rFont val="Tahoma"/>
            <family val="2"/>
          </rPr>
          <t xml:space="preserve">This cell is red when set to REJECTED
When a requirement is rejected there shall be a comment explaining the reason why. This is why the Review Comment cell will be red if empty whereas status is rejected.
</t>
        </r>
        <r>
          <rPr>
            <b/>
            <sz val="8"/>
            <color indexed="81"/>
            <rFont val="Tahoma"/>
            <family val="2"/>
          </rPr>
          <t>When a requirement priority is set to 3. N/A, its status shall also be set to N/A.</t>
        </r>
      </text>
    </comment>
    <comment ref="AA2" authorId="0" shapeId="0" xr:uid="{00000000-0006-0000-0100-000008000000}">
      <text>
        <r>
          <rPr>
            <b/>
            <sz val="8"/>
            <color indexed="81"/>
            <rFont val="Tahoma"/>
            <family val="2"/>
          </rPr>
          <t xml:space="preserve">Name of the customer requesting the feature. </t>
        </r>
        <r>
          <rPr>
            <b/>
            <sz val="8"/>
            <color indexed="48"/>
            <rFont val="Tahoma"/>
            <family val="2"/>
          </rPr>
          <t>When the customer name is available a Use Case should also be available</t>
        </r>
        <r>
          <rPr>
            <sz val="8"/>
            <color indexed="81"/>
            <rFont val="Tahoma"/>
            <family val="2"/>
          </rPr>
          <t xml:space="preserve">
</t>
        </r>
      </text>
    </comment>
    <comment ref="AB2" authorId="0" shapeId="0" xr:uid="{00000000-0006-0000-0100-000009000000}">
      <text>
        <r>
          <rPr>
            <b/>
            <sz val="8"/>
            <color indexed="81"/>
            <rFont val="Tahoma"/>
            <family val="2"/>
          </rPr>
          <t xml:space="preserve">The previous comment shall never be deleted. The last comment shall be added on top of the line.
This field shall be updated each time a requirement is REJECTED
Start a comment with your initials/name between square brackets:
</t>
        </r>
        <r>
          <rPr>
            <b/>
            <sz val="8"/>
            <color indexed="48"/>
            <rFont val="Tahoma"/>
            <family val="2"/>
          </rPr>
          <t>[XTC] The description of the requirement is ambiguous</t>
        </r>
        <r>
          <rPr>
            <sz val="8"/>
            <color indexed="81"/>
            <rFont val="Tahoma"/>
            <family val="2"/>
          </rPr>
          <t xml:space="preserve">
</t>
        </r>
      </text>
    </comment>
    <comment ref="AC2" authorId="2" shapeId="0" xr:uid="{00000000-0006-0000-0100-00000A000000}">
      <text>
        <r>
          <rPr>
            <b/>
            <sz val="9"/>
            <color indexed="81"/>
            <rFont val="Tahoma"/>
          </rPr>
          <t xml:space="preserve">Inherited:
</t>
        </r>
        <r>
          <rPr>
            <sz val="9"/>
            <color indexed="81"/>
            <rFont val="Tahoma"/>
            <family val="2"/>
          </rPr>
          <t>Set to Yes when the feature is already available in a previous product</t>
        </r>
      </text>
    </comment>
    <comment ref="AD2" authorId="0" shapeId="0" xr:uid="{00000000-0006-0000-0100-00000B000000}">
      <text>
        <r>
          <rPr>
            <b/>
            <sz val="8"/>
            <color indexed="81"/>
            <rFont val="Tahoma"/>
            <family val="2"/>
          </rPr>
          <t xml:space="preserve">Document reference detailing the request, it can be: 
- a Feasibility Study with the hyperlink to SBM item
- 3GPP Specification
</t>
        </r>
        <r>
          <rPr>
            <sz val="8"/>
            <color indexed="81"/>
            <rFont val="Tahoma"/>
            <family val="2"/>
          </rPr>
          <t xml:space="preserve">
</t>
        </r>
        <r>
          <rPr>
            <b/>
            <sz val="8"/>
            <color indexed="81"/>
            <rFont val="Tahoma"/>
            <family val="2"/>
          </rPr>
          <t xml:space="preserve">- a slide deck with the description of a Use Case …
- if the status fo a requirement is set to "INHERITED" then the reference of the document where the requirements was originally defined. </t>
        </r>
        <r>
          <rPr>
            <b/>
            <sz val="8"/>
            <color indexed="10"/>
            <rFont val="Tahoma"/>
            <family val="2"/>
          </rPr>
          <t>The Cell is Red if "INHERITED" is selected without any reference.</t>
        </r>
      </text>
    </comment>
    <comment ref="AE2" authorId="0" shapeId="0" xr:uid="{00000000-0006-0000-0100-00000C000000}">
      <text>
        <r>
          <rPr>
            <b/>
            <sz val="8"/>
            <color indexed="81"/>
            <rFont val="Tahoma"/>
            <family val="2"/>
          </rPr>
          <t xml:space="preserve">Any update of the columns on the left will be detected and the timestamp is recorded here.
</t>
        </r>
        <r>
          <rPr>
            <b/>
            <sz val="8"/>
            <color indexed="48"/>
            <rFont val="Tahoma"/>
            <family val="2"/>
          </rPr>
          <t>This column shall not be updated manually as it used to track the changes between 2 revisions of the MRD</t>
        </r>
        <r>
          <rPr>
            <sz val="8"/>
            <color indexed="48"/>
            <rFont val="Tahoma"/>
            <family val="2"/>
          </rPr>
          <t xml:space="preserve">
</t>
        </r>
      </text>
    </comment>
    <comment ref="AF2" authorId="0" shapeId="0" xr:uid="{00000000-0006-0000-0100-00000D000000}">
      <text>
        <r>
          <rPr>
            <b/>
            <sz val="8"/>
            <color indexed="81"/>
            <rFont val="Tahoma"/>
            <family val="2"/>
          </rPr>
          <t xml:space="preserve">Any update of the columns on the left will be detected and the author is recorded here.
</t>
        </r>
        <r>
          <rPr>
            <b/>
            <sz val="8"/>
            <color indexed="48"/>
            <rFont val="Tahoma"/>
            <family val="2"/>
          </rPr>
          <t xml:space="preserve">This column shall not be updated manually as it used to track the changes between 2 revisions of the MRD
</t>
        </r>
      </text>
    </comment>
    <comment ref="AS2" authorId="0" shapeId="0" xr:uid="{00000000-0006-0000-0100-00000E000000}">
      <text>
        <r>
          <rPr>
            <b/>
            <sz val="8"/>
            <color indexed="81"/>
            <rFont val="Tahoma"/>
            <family val="2"/>
          </rPr>
          <t>Last update date is converted in integer for comparison matters</t>
        </r>
        <r>
          <rPr>
            <sz val="8"/>
            <color indexed="48"/>
            <rFont val="Tahoma"/>
            <family val="2"/>
          </rPr>
          <t xml:space="preserve">
</t>
        </r>
      </text>
    </comment>
    <comment ref="AT2" authorId="0" shapeId="0" xr:uid="{00000000-0006-0000-0100-00000F000000}">
      <text>
        <r>
          <rPr>
            <b/>
            <sz val="8"/>
            <color indexed="81"/>
            <rFont val="Tahoma"/>
            <family val="2"/>
          </rPr>
          <t>Last save update date is converted in integer for comparison matters</t>
        </r>
        <r>
          <rPr>
            <sz val="8"/>
            <color indexed="48"/>
            <rFont val="Tahoma"/>
            <family val="2"/>
          </rPr>
          <t xml:space="preserve">
</t>
        </r>
      </text>
    </comment>
    <comment ref="AU2" authorId="0" shapeId="0" xr:uid="{00000000-0006-0000-0100-000010000000}">
      <text>
        <r>
          <rPr>
            <b/>
            <sz val="8"/>
            <color indexed="81"/>
            <rFont val="Tahoma"/>
            <family val="2"/>
          </rPr>
          <t xml:space="preserve">Any update of the columns on the left will be detected and the author is recorded here.
</t>
        </r>
        <r>
          <rPr>
            <b/>
            <sz val="8"/>
            <color indexed="48"/>
            <rFont val="Tahoma"/>
            <family val="2"/>
          </rPr>
          <t xml:space="preserve">This column shall not be updated manually as it used to track the changes between 2 revisions of the MRD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KLEIN Pierre-Yves</author>
  </authors>
  <commentList>
    <comment ref="L6" authorId="0" shapeId="0" xr:uid="{00000000-0006-0000-0200-000001000000}">
      <text>
        <r>
          <rPr>
            <sz val="8"/>
            <color indexed="81"/>
            <rFont val="Tahoma"/>
            <family val="2"/>
          </rPr>
          <t xml:space="preserve">The 2 categories Accepted and inherited are displayed as Accepted
</t>
        </r>
      </text>
    </comment>
    <comment ref="L26" authorId="0" shapeId="0" xr:uid="{00000000-0006-0000-0200-000002000000}">
      <text>
        <r>
          <rPr>
            <sz val="8"/>
            <color indexed="81"/>
            <rFont val="Tahoma"/>
            <family val="2"/>
          </rPr>
          <t xml:space="preserve">The 2 categories Accepted and inherited are displayed as Accepted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SUIRE Jacques</author>
  </authors>
  <commentList>
    <comment ref="D3" authorId="0" shapeId="0" xr:uid="{00000000-0006-0000-0400-000001000000}">
      <text>
        <r>
          <rPr>
            <b/>
            <sz val="8"/>
            <color indexed="81"/>
            <rFont val="Tahoma"/>
            <family val="2"/>
          </rPr>
          <t>The Category shall be on 2 digits to allow sorting on this field</t>
        </r>
        <r>
          <rPr>
            <sz val="8"/>
            <color indexed="81"/>
            <rFont val="Tahoma"/>
            <family val="2"/>
          </rPr>
          <t xml:space="preserve">
</t>
        </r>
      </text>
    </comment>
  </commentList>
</comments>
</file>

<file path=xl/sharedStrings.xml><?xml version="1.0" encoding="utf-8"?>
<sst xmlns="http://schemas.openxmlformats.org/spreadsheetml/2006/main" count="2460" uniqueCount="522">
  <si>
    <t>Version</t>
  </si>
  <si>
    <t>Revision</t>
  </si>
  <si>
    <t>Date</t>
  </si>
  <si>
    <t>Author</t>
  </si>
  <si>
    <t>ACCEPTED</t>
  </si>
  <si>
    <t>REJECTED</t>
  </si>
  <si>
    <t>INHERITED</t>
  </si>
  <si>
    <t>Req ID</t>
  </si>
  <si>
    <t>Requirement Title</t>
  </si>
  <si>
    <t>Requesting Customer</t>
  </si>
  <si>
    <t>Requirement Description</t>
  </si>
  <si>
    <t>REQUIREMENTS</t>
  </si>
  <si>
    <t>STATUS</t>
  </si>
  <si>
    <t>1. MUST</t>
  </si>
  <si>
    <t>2. SHOULD</t>
  </si>
  <si>
    <t>3. N/A</t>
  </si>
  <si>
    <t>PRIORITY</t>
  </si>
  <si>
    <t>Track Updates</t>
  </si>
  <si>
    <t>Last Save</t>
  </si>
  <si>
    <t>Last Author</t>
  </si>
  <si>
    <t>1. INITIALIZATION</t>
  </si>
  <si>
    <t>2. FIELD DESCRIPTION</t>
  </si>
  <si>
    <t>3. USAGE</t>
  </si>
  <si>
    <t>To make many changes in REQUIREMENTS without tracking time and author, set TRACK UPDATES to NO in ADMIN sheet</t>
  </si>
  <si>
    <t>Last Update</t>
  </si>
  <si>
    <t>PENDING</t>
  </si>
  <si>
    <t>SUIRE Jacques</t>
  </si>
  <si>
    <t>Name of the requirement sheet</t>
  </si>
  <si>
    <t>Product x Priority</t>
  </si>
  <si>
    <t>Product x Status</t>
  </si>
  <si>
    <t xml:space="preserve">Review Comment </t>
  </si>
  <si>
    <t>Requirement
Category</t>
  </si>
  <si>
    <t>CATEGORY</t>
  </si>
  <si>
    <t>Are you sure that each requirement is:</t>
  </si>
  <si>
    <t>Clear</t>
  </si>
  <si>
    <t>Complete</t>
  </si>
  <si>
    <t>Unambiguous</t>
  </si>
  <si>
    <t>Necessary</t>
  </si>
  <si>
    <t>Concise</t>
  </si>
  <si>
    <t>Feasible</t>
  </si>
  <si>
    <t>Testable (Is there a Test Case identified)</t>
  </si>
  <si>
    <t>Consistent</t>
  </si>
  <si>
    <t>Granular enough</t>
  </si>
  <si>
    <t>Documented (all the mandatory attributes are filled)</t>
  </si>
  <si>
    <t>Derived in sub-requirements</t>
  </si>
  <si>
    <t>For the global set of requirements:</t>
  </si>
  <si>
    <t>Does it contain External (customer) + Internal requirements?</t>
  </si>
  <si>
    <t>Is each category of requirements represented?</t>
  </si>
  <si>
    <t>Is this set of requirement necessary and sufficient?</t>
  </si>
  <si>
    <t>Have you committed a baseline of requirements with stakeholders?</t>
  </si>
  <si>
    <t>Is development organized only with Committed requirements / changes?</t>
  </si>
  <si>
    <t>Are all the changes included, rejected or yet under analysis?</t>
  </si>
  <si>
    <t>KLEIN Pierre-Yves</t>
  </si>
  <si>
    <r>
      <t xml:space="preserve">Comment </t>
    </r>
    <r>
      <rPr>
        <sz val="12"/>
        <color theme="0"/>
        <rFont val="Calibri"/>
        <family val="2"/>
        <scheme val="minor"/>
      </rPr>
      <t>(Modified requirements are tagged in columns P and Q)</t>
    </r>
  </si>
  <si>
    <t>Clean the template (remove example and pinout spreadsheet)
Add a Title column
Add CR Id column
Add Use Case Category
Change colors for MUST and INHERITED
Add an empty line
Add reminder in the Guidelines section</t>
  </si>
  <si>
    <t>Requirement  Category</t>
  </si>
  <si>
    <t>Version (automatic)</t>
  </si>
  <si>
    <t>Comment</t>
  </si>
  <si>
    <t>Reference</t>
  </si>
  <si>
    <t>Last Update (automatic)</t>
  </si>
  <si>
    <t>Last Author (automatic)</t>
  </si>
  <si>
    <t>Requirements</t>
  </si>
  <si>
    <t>Merge Title page and revision page (the document is not intended to be printed)
Template sheet renamed into Requirements
Categories reviewed and updated with JSU</t>
  </si>
  <si>
    <t>Introduce possibility to enable/disable track updates
Requirement Title is now a free text field</t>
  </si>
  <si>
    <t>UICC/SIM Interface</t>
  </si>
  <si>
    <t>01 - Air Interfaces &amp; Technologies</t>
  </si>
  <si>
    <t>02 - HW Interfaces</t>
  </si>
  <si>
    <t>03 - Chipset/Component Selection</t>
  </si>
  <si>
    <t>04 - Embedded SW</t>
  </si>
  <si>
    <t>05 - IDE, PC tools and drivers</t>
  </si>
  <si>
    <t>06 - Host SW and drivers</t>
  </si>
  <si>
    <t>07 - Cloud Platform</t>
  </si>
  <si>
    <t>08 - Compatibility</t>
  </si>
  <si>
    <t>09 - Performances</t>
  </si>
  <si>
    <t>10 - Regulatory App. &amp; Env. Compliance</t>
  </si>
  <si>
    <t>12 - Product Costing</t>
  </si>
  <si>
    <t>13 - Mechanical/Environmental/Reliability</t>
  </si>
  <si>
    <t>14 - Manufacturing and Quality</t>
  </si>
  <si>
    <t>15 - Packaging</t>
  </si>
  <si>
    <t>16 - Documentation</t>
  </si>
  <si>
    <t>17 - Training</t>
  </si>
  <si>
    <t>19 - Customer Milestones</t>
  </si>
  <si>
    <t>20 - Use Case</t>
  </si>
  <si>
    <t>18 - Development Kit</t>
  </si>
  <si>
    <t>Categories updated</t>
  </si>
  <si>
    <t>If you want to update the REQUIREMENTS sheet without updating the Last Update cells, select NO</t>
  </si>
  <si>
    <t>(Need help with the file? Send email to "! R&amp;D - SPEG Team")</t>
  </si>
  <si>
    <t>Update with feedback from the PLM reviews</t>
  </si>
  <si>
    <t>11 - Target Carriers &amp; Market</t>
  </si>
  <si>
    <t>Preliminary work to prepare workshop</t>
  </si>
  <si>
    <t>MRD Template for first workshop session</t>
  </si>
  <si>
    <t>Updates after session 1</t>
  </si>
  <si>
    <t>BOTTOM_LINE: DO NOT DELETE</t>
  </si>
  <si>
    <t>Reference (NFR/Use Case)</t>
  </si>
  <si>
    <t>When opening the file, enter your name and firstname if not displayed by default</t>
  </si>
  <si>
    <t>Note : TRACK UPDATE  parameter is automatically set to YES when the file is opened</t>
  </si>
  <si>
    <t>The pie chart above will monitor the ratio of MUST requirements only</t>
  </si>
  <si>
    <t>The pie chart above will monitor the ratio of all requirements</t>
  </si>
  <si>
    <t>FileHold Reference: 4124003</t>
  </si>
  <si>
    <t>Use default name at Login by default and add a button to add an empty line on requirement and revision sheets.
Merge Inherited and Accepted categories in the indicator.
Upload in FileHold</t>
  </si>
  <si>
    <t>See Comment on "Requirements" spreadsheet</t>
  </si>
  <si>
    <t>The list of CATEGORIES where the requirements will be applied. Please notify SEPG team for potential</t>
  </si>
  <si>
    <t>template update.</t>
  </si>
  <si>
    <t>Update the sheet "Parameters" if required? You can add values but do not update the xisting values:</t>
  </si>
  <si>
    <t>Always add new values to the lists just below the last line</t>
  </si>
  <si>
    <t>Typically when creating an MRD this option should be disabled.</t>
  </si>
  <si>
    <t>Update the name of the project on the "Title &amp; revision" spreadsheet</t>
  </si>
  <si>
    <t>Update the FileHold reference in cell B10 on the "Title &amp; revision" spreadsheet</t>
  </si>
  <si>
    <r>
      <t xml:space="preserve">Monitor the indicator </t>
    </r>
    <r>
      <rPr>
        <b/>
        <sz val="11"/>
        <color theme="1"/>
        <rFont val="Calibri"/>
        <family val="2"/>
        <scheme val="minor"/>
      </rPr>
      <t xml:space="preserve">"MUST" Requirements Status </t>
    </r>
    <r>
      <rPr>
        <sz val="11"/>
        <color theme="1"/>
        <rFont val="Calibri"/>
        <family val="2"/>
        <scheme val="minor"/>
      </rPr>
      <t xml:space="preserve">available on "Indicators" spreadsheet,to tell when </t>
    </r>
  </si>
  <si>
    <t>the scope of the project is mature enough to trigger the Development Plan</t>
  </si>
  <si>
    <t>Remove some useless hidden columns</t>
  </si>
  <si>
    <t>can be done.</t>
  </si>
  <si>
    <t>Fix bug with pie chart on indicators spreadsheet. Add conditional formatting when product status set to rejected without comment.
Add explanations about ACCEPTED status in the Guidelines.</t>
  </si>
  <si>
    <t>Fix issue with conditional formatting</t>
  </si>
  <si>
    <t>01.00</t>
  </si>
  <si>
    <t>01.01</t>
  </si>
  <si>
    <t>01.02</t>
  </si>
  <si>
    <t>01.03</t>
  </si>
  <si>
    <t>01.04</t>
  </si>
  <si>
    <t>01.05</t>
  </si>
  <si>
    <t>01.06</t>
  </si>
  <si>
    <t>01.07</t>
  </si>
  <si>
    <t>01.08</t>
  </si>
  <si>
    <t>01.09</t>
  </si>
  <si>
    <t>01.10</t>
  </si>
  <si>
    <t>Add conditional formatting for inherited when reference cell is not empty. Clean up names list.</t>
  </si>
  <si>
    <t>BARATAUD Thomas</t>
  </si>
  <si>
    <t>Path</t>
  </si>
  <si>
    <t>Test Owner</t>
  </si>
  <si>
    <t>Add 3 grouped columns: Requirement type, Path, Test Owner</t>
  </si>
  <si>
    <t>Folder</t>
  </si>
  <si>
    <t>Addition of mapping path in the first 23 lines of the requirements sheet</t>
  </si>
  <si>
    <t>01.11</t>
  </si>
  <si>
    <t>01.12</t>
  </si>
  <si>
    <t>01.13</t>
  </si>
  <si>
    <t>01.14</t>
  </si>
  <si>
    <t>01.15</t>
  </si>
  <si>
    <t>01.16</t>
  </si>
  <si>
    <t>01.17</t>
  </si>
  <si>
    <t>Modification of bottom line in Requirement sheet to allow sorting of ReqID(ACT00228)</t>
  </si>
  <si>
    <t>01.18</t>
  </si>
  <si>
    <t>ACT00155: remove unexpected column with useless data inside (Column AS)</t>
  </si>
  <si>
    <t>Requirement type</t>
  </si>
  <si>
    <t>01.19</t>
  </si>
  <si>
    <t>All products (Any Priority)</t>
  </si>
  <si>
    <t>All products (MUST Only)</t>
  </si>
  <si>
    <t>Addition of possibility to select which product's requirements to import between product 1 and product 2
ACT00273:Import selection and import path to QC are no more done in 'Requirements' sheet but in 'Import_QC'
Addition of a button in 'Requirements' to ease the import to QC
ACT00277: Change colors of pie chart indicator, and add one indicator per product
ACT00279: Sort file by Req ID when opening and change versioning mechanism
Req version is not increased if the comment or reference cells are modified</t>
  </si>
  <si>
    <t>filter</t>
  </si>
  <si>
    <t>Last Update Integer</t>
  </si>
  <si>
    <t>01.20</t>
  </si>
  <si>
    <t>04.01</t>
  </si>
  <si>
    <t>05.01</t>
  </si>
  <si>
    <t>Baseband</t>
  </si>
  <si>
    <t>The module shall use the Qualcomm MDM9615 baseband modem.</t>
  </si>
  <si>
    <t xml:space="preserve">UICC/SIM interface compatible with the 34.121 USIM Testing IC Card standard fjfjg
The interface shall support 3V and 1.8V SIM cards. </t>
  </si>
  <si>
    <t>13.01</t>
  </si>
  <si>
    <t>Customer Application SW</t>
  </si>
  <si>
    <t>The device is sending its position via SMS, when a signal is received from the accelerator of the customer applications</t>
  </si>
  <si>
    <t>Magneti Marelli</t>
  </si>
  <si>
    <t>STUDY</t>
  </si>
  <si>
    <t>When the product status is set to STUDY, it means the requirement is understood but not committed.</t>
  </si>
  <si>
    <t>02.00</t>
  </si>
  <si>
    <t>Improvement on the version increasing of the requirements and on date detection for req or comment modification
ACT00135: No version change if same day and same author</t>
  </si>
  <si>
    <t>Introduction of STUDY status
ACT00176: Improvement in filtering, explainations of the meaning of terms in columns H and G in the Guidelines.
ACT00213: update the indicator pie chart
ACT00245: Introduction of a new value for product status in the MRD=Study</t>
  </si>
  <si>
    <t>02.01</t>
  </si>
  <si>
    <t>Estimations for the workload of STUDY requirements might have lower accuracy than for ACCEPTED requirements.</t>
  </si>
  <si>
    <t>Improvement of code to make it more robust in case of addition of column in requirement sheet
Correction in the sorting of requirement macro.
Correction in the filtering of requirements for the import in QC
Modification of the buttons in "Requirements" sheet to use ActiveX controls and make them more robust to auto-size.</t>
  </si>
  <si>
    <t>&lt;&gt;19 - Customer Milestones</t>
  </si>
  <si>
    <t>02.02</t>
  </si>
  <si>
    <t>Improvement and cleaning of code:
Filter of requirements now using advanced filter
Addition of "Green_req" sheet to store results of advanced filter
Parameters of filters set in "Parameters" sheet
Input box updated
Variables with right dimension to reduce the memory allocation
Sceenupdates unabled during macros to make them faster
ACT00322: sorting is more robust and don't rely anymore on Author column.</t>
  </si>
  <si>
    <t>Product Priority</t>
  </si>
  <si>
    <t>02.03</t>
  </si>
  <si>
    <t>Management of product priority for QC import. The priority of the requirement (MUST, SHOULD, N/A) depends on the combination of N products priorities</t>
  </si>
  <si>
    <t>02.04</t>
  </si>
  <si>
    <t>XX.YY format written as a reminder in the Req ID column (ACT00296) and Status set to "PENDING" for products 1 &amp; 2 by default when adding new line</t>
  </si>
  <si>
    <t>02.05</t>
  </si>
  <si>
    <t>Addition of INHERITED status definition in the guidelines</t>
  </si>
  <si>
    <t>02.06</t>
  </si>
  <si>
    <t>N/A</t>
  </si>
  <si>
    <t>When the Product priority is set to "3.N/A", the Product status shall be set to "N/A" too</t>
  </si>
  <si>
    <t>02.07</t>
  </si>
  <si>
    <t>ACT00406: REQ ID format is now checked. Empty titles are also checked, preventing document closure.</t>
  </si>
  <si>
    <t>ACT00446: N/A status added in the product status columns. Indicators updated accordingly.</t>
  </si>
  <si>
    <t>02.08</t>
  </si>
  <si>
    <t>Maintenance</t>
  </si>
  <si>
    <t>The defects listed in the MSD shall be all fixed</t>
  </si>
  <si>
    <t>Updated for 4 products.
Handling of filters in requirement sheets at opening of the file.
Code cleaning</t>
  </si>
  <si>
    <t>09.01</t>
  </si>
  <si>
    <t>06.02</t>
  </si>
  <si>
    <t>Code cleaning
Buttons are in Addins tab
ACT00514: addition of a button to remove 1 requirement
ACT00515: Addition of a button to add 1 requirement with selection of the requirement category
Automatic generation of Requirement ID when adding a requirement or when modifying the category on new lines.</t>
  </si>
  <si>
    <t>03.00</t>
  </si>
  <si>
    <t>04.02</t>
  </si>
  <si>
    <t>Legacy</t>
  </si>
  <si>
    <t>The set of features already available on the product (corresponding to legacy requirements not described in this MRD) shall be the same</t>
  </si>
  <si>
    <t>03.01</t>
  </si>
  <si>
    <t>03.02</t>
  </si>
  <si>
    <t>Bug fixing</t>
  </si>
  <si>
    <t>ACT00522: Add a default requirement for legacy requirements already available on the product.</t>
  </si>
  <si>
    <t>03.03</t>
  </si>
  <si>
    <t xml:space="preserve">Update formula for number of PENDING items calculation in Indicators sheet 
ACT00540: Req ID and req title are concataned when importing the MRD in QC </t>
  </si>
  <si>
    <t>03.04</t>
  </si>
  <si>
    <t xml:space="preserve">Update the name of the Import dialogue box (Project changed to product) ACT00618 </t>
  </si>
  <si>
    <t>For more details refer to  (FH ref 4114440)</t>
  </si>
  <si>
    <t>It will copy them in the folder tree structure into QC</t>
  </si>
  <si>
    <t>An error message will appear if a Requirement ID or a category are missing for the requirements to upload</t>
  </si>
  <si>
    <t>Product List</t>
  </si>
  <si>
    <t>Products</t>
  </si>
  <si>
    <t>03.05</t>
  </si>
  <si>
    <t>ACT00619: Add the possibility to select 1 product only to upload into Quality Center</t>
  </si>
  <si>
    <t>By default the MRD template is built to accomodate 4 products.</t>
  </si>
  <si>
    <t>In the case more products should be listed in the MRD, send an email to SEPG team for support.</t>
  </si>
  <si>
    <t>4. WARNINGS</t>
  </si>
  <si>
    <t>5. ABOUT PRODUCT STATUS</t>
  </si>
  <si>
    <t>6. REMINDER</t>
  </si>
  <si>
    <t>7. Mapping for requirement import in QC</t>
  </si>
  <si>
    <t xml:space="preserve">Always use the dedicated buttons in the add-ins tab to insert a line or add a requirement. </t>
  </si>
  <si>
    <r>
      <t>If it is not working, contact the SEPG team for support.</t>
    </r>
    <r>
      <rPr>
        <b/>
        <sz val="11"/>
        <color theme="1"/>
        <rFont val="Calibri"/>
        <family val="2"/>
        <scheme val="minor"/>
      </rPr>
      <t xml:space="preserve"> Do not insert lines manually</t>
    </r>
    <r>
      <rPr>
        <sz val="11"/>
        <color theme="1"/>
        <rFont val="Calibri"/>
        <family val="2"/>
        <scheme val="minor"/>
      </rPr>
      <t>.</t>
    </r>
  </si>
  <si>
    <t xml:space="preserve">When some cells are copied in the sheets (from external file or from other internal sheet), </t>
  </si>
  <si>
    <r>
      <t xml:space="preserve">make sure to use a </t>
    </r>
    <r>
      <rPr>
        <b/>
        <sz val="11"/>
        <color theme="1"/>
        <rFont val="Calibri"/>
        <family val="2"/>
        <scheme val="minor"/>
      </rPr>
      <t>copy/paste values</t>
    </r>
    <r>
      <rPr>
        <sz val="11"/>
        <color theme="1"/>
        <rFont val="Calibri"/>
        <family val="2"/>
        <scheme val="minor"/>
      </rPr>
      <t xml:space="preserve"> to prevent any unexpected link.</t>
    </r>
  </si>
  <si>
    <t xml:space="preserve">To display all products just open the plan  by pressing </t>
  </si>
  <si>
    <t>Do not insert new column without SEPG support.</t>
  </si>
  <si>
    <t>03.06</t>
  </si>
  <si>
    <t>ACT00632: Update of guidelines</t>
  </si>
  <si>
    <t>Inherited</t>
  </si>
  <si>
    <t>Yes</t>
  </si>
  <si>
    <t>No</t>
  </si>
  <si>
    <t>Product10 Priority</t>
  </si>
  <si>
    <t>Product10 Status</t>
  </si>
  <si>
    <t>Product06 Priority</t>
  </si>
  <si>
    <t>Product06 Status</t>
  </si>
  <si>
    <t>Product07 Priority</t>
  </si>
  <si>
    <t>Product07 Status</t>
  </si>
  <si>
    <t>Product08 Priority</t>
  </si>
  <si>
    <t>Product08 Status</t>
  </si>
  <si>
    <t>Product09 Priority</t>
  </si>
  <si>
    <t>Product09 Status</t>
  </si>
  <si>
    <t>Product1</t>
  </si>
  <si>
    <t>04.01 - Maintenance</t>
  </si>
  <si>
    <t>04.02 - Legacy</t>
  </si>
  <si>
    <t>05.01 - Baseband</t>
  </si>
  <si>
    <t>06.02 - UICC/SIM Interface</t>
  </si>
  <si>
    <t>09.01 - Date</t>
  </si>
  <si>
    <t>13.01 - Customer Application SW</t>
  </si>
  <si>
    <t>The application will import any requirement which is in "Accepted" or "Study" state for all products or for the product selected for a specific project.</t>
  </si>
  <si>
    <t>When the Product status is set to ACCEPTED and the INHERITED field set to YES, it means the requirement is already supported and that no code development is required.</t>
  </si>
  <si>
    <t>When the Product status is set to ACCEPTED and the INHERITED field set to NO, it means the requirement is understood and committed. Estimations for the workload</t>
  </si>
  <si>
    <t>03.07</t>
  </si>
  <si>
    <t>ACT00646: Removal of INHERITED status. New Inherited column added  at the end of the requirement table
ACT00655: update to allow the tracking of 10 products</t>
  </si>
  <si>
    <r>
      <t xml:space="preserve">Comment </t>
    </r>
    <r>
      <rPr>
        <sz val="12"/>
        <color theme="0"/>
        <rFont val="Calibri"/>
        <family val="2"/>
        <scheme val="minor"/>
      </rPr>
      <t>(Modified requirements are tagged in columns AE and AF)</t>
    </r>
  </si>
  <si>
    <t>Jacques Suire</t>
  </si>
  <si>
    <t>07.01</t>
  </si>
  <si>
    <t>07.02</t>
  </si>
  <si>
    <t>07.03</t>
  </si>
  <si>
    <t>07.04</t>
  </si>
  <si>
    <t>07.05</t>
  </si>
  <si>
    <t>07.06</t>
  </si>
  <si>
    <t>AR Series Priority</t>
  </si>
  <si>
    <t>AR Series Status</t>
  </si>
  <si>
    <t>WP Series Priority</t>
  </si>
  <si>
    <t>WP Series Status</t>
  </si>
  <si>
    <t>HL Series Priority</t>
  </si>
  <si>
    <t>HL Series Status</t>
  </si>
  <si>
    <t>EM/MC Series Priority</t>
  </si>
  <si>
    <t>EM/MC Series Status</t>
  </si>
  <si>
    <t>FileHold Reference: 4119558</t>
  </si>
  <si>
    <t>Robert Jacolin</t>
  </si>
  <si>
    <t>Creation</t>
  </si>
  <si>
    <t>Didier Lahay</t>
  </si>
  <si>
    <t>Review and update</t>
  </si>
  <si>
    <t>Review with David Sciamma (AirVantage R&amp;D Director)</t>
  </si>
  <si>
    <t>Update requirements</t>
  </si>
  <si>
    <t>Split MC/HL/WP plus review with Didier Lahay &amp; Julien Vermillard</t>
  </si>
  <si>
    <t>Lockdown for HL8518SED scope</t>
  </si>
  <si>
    <t>Transfer to official MRD template</t>
  </si>
  <si>
    <t>General Communications with the server</t>
  </si>
  <si>
    <t>Communication with AirVantage server has to use LWM2M (default).
For information: LWM2M it is compact (binary, no HTTP) &amp; secure (mutual authentication device-server, encryption, key rotation).</t>
  </si>
  <si>
    <t>Retry mechanism</t>
  </si>
  <si>
    <t xml:space="preserve">As a user of AirVantage, I want the device to have a retry mechanism with elastic timers: 15 min, 1h, 4h, 8h, 24h, 48h in case the communication fails. </t>
  </si>
  <si>
    <t>Retry mechanism configuration</t>
  </si>
  <si>
    <t>The retry mechanism must be configurable from the server or locally.</t>
  </si>
  <si>
    <t>Timestamp data</t>
  </si>
  <si>
    <t xml:space="preserve">The LWM2M client must be able to send application data with timestamps.
</t>
  </si>
  <si>
    <t>Heartbeat configuration</t>
  </si>
  <si>
    <t xml:space="preserve">As the AirVantage user, I want to be able to configure  remotely or locally on the device LWM2M server heartbeat interval using LWM2M server as well as the bootstrap server.
 - I want to be able to configure the device to connect at boot.
 - The default behavior shall to not connect to the server at all.
</t>
  </si>
  <si>
    <t>Server address &amp; crendentials configuration</t>
  </si>
  <si>
    <t xml:space="preserve">As the AirVantage user I want to be able to re-configure the bootstrap server and the LWM2M server (from the bootstrap server). The reconfiguration applies to all the configuration including credentials. The Bootstrap server may change the LWM2M server credentials periodically to perform Key rotation.
</t>
  </si>
  <si>
    <t>Device Heartbeat low bandwidth</t>
  </si>
  <si>
    <t>As an AirVantage user I want the heartbeat bandwidth to be very limited in order to have low latency server to device communications. That means perform DNS update only when connection error occurs or once a day..</t>
  </si>
  <si>
    <t>Single PDP Context</t>
  </si>
  <si>
    <t>As an embedded developer, I want to be able to use a single PDP Context for all my application (and so reuse it) because operators require a single one per device. It has to be considered that if the device supports multiple IP protocols  to connect to the server they shall use the same IP address (unique PDP Context).</t>
  </si>
  <si>
    <t>Check Server address update</t>
  </si>
  <si>
    <t>As an embedded developer, I want to display the AV-related information (heartbeat, server URL, APN) in order to be able to check the configuration.</t>
  </si>
  <si>
    <t>Open session</t>
  </si>
  <si>
    <t>As an embedded developer, I want to be able to open a session with AirVantage locally.</t>
  </si>
  <si>
    <t xml:space="preserve">As an AirVantage user I want to be able to register my device with a unique identifier (IMEI), and a security identifier (S/N) used to retrieve credentials. 
</t>
  </si>
  <si>
    <t>As a user of AirVantage I want to be able to reboot a device. I want to get a confirmation from the device that the command has been executed.</t>
  </si>
  <si>
    <t>As a user of AirVantage I want to be able to reset a device to factory default. I want to get a confirmation from the device that the command has been executed.</t>
  </si>
  <si>
    <t>As an embedded developer I want to explicitely enable  the remote management feature. If I don't do that I don't want SWIR server to manage remotely my device.</t>
  </si>
  <si>
    <t xml:space="preserve">As an embedded application developer,  I want to be able to define some settings manageable from AirVantage. I want my application to be notified if the server modify a setting remotely. My application must be able to acknowledge the change.
</t>
  </si>
  <si>
    <t>As an embedded application developer, I want to be able to define some  data (tree or nodes) to be pushed automatically to the server when a data is modified (LWM2M Observe).</t>
  </si>
  <si>
    <t xml:space="preserve">As an embedded application developer, I want to be able to define  variables in my application that can be read only from AirVantage.
</t>
  </si>
  <si>
    <t xml:space="preserve">As an embedded application developer I want to have a documented way to push data to the server. The application can start and accumulate data (timestamped or not) and send in a single message several timestamped values for a single data to AirVantage without any request from AirVantage: the application can manage the communication pace and manage any error which can occur.
</t>
  </si>
  <si>
    <t>As an embedded application developer I want to be able to define multiple applications running independently on my device. Each application can communicate independently with AirVantage.</t>
  </si>
  <si>
    <t>As a user of AirVantage I want to be able to send a command to an application on the device. A command can have parameters. A command must be acknowledged (success or failed).</t>
  </si>
  <si>
    <t>As an embeded developper I want my application to be notified about any change or error in the communication (network error, server error, bearer up/down, PDP context changes).</t>
  </si>
  <si>
    <t>As a user of AirVantage, I want to be able to discover the model of an application.
This requirement enables the definition of dynamic application data model: new sensors are added for example.</t>
  </si>
  <si>
    <t>As an embedded developer, I want to send boolean, integer, float, string and binary data.</t>
  </si>
  <si>
    <t>As en embedded application developer, I want to send to AirVantage with LWM2M a data history accumulated when the communication is up.</t>
  </si>
  <si>
    <t xml:space="preserve">As an embedded developer, I want to compress time series before sending to AirVantage. </t>
  </si>
  <si>
    <t xml:space="preserve">As an AirVantage user, I want to be able to program multiple Software and Firmware upgrade to be executed when the module connects. If one upgrade fails, the server shall not execute the next ones.
</t>
  </si>
  <si>
    <t>As an embedded developper (application or device) I want to be able to control the upgrade process: getting notified of state change and providing agreement before the download and update agents engage the next step.</t>
  </si>
  <si>
    <t>As a user of AirVantage I want to be able to list the applications available on the module with their status: started/stoped.</t>
  </si>
  <si>
    <t xml:space="preserve">As an embedded developer, I want to be able to provide a signed update package to AirVantage. AirVantage will not check any signature. When AirVantage will deliver the package to the device I expect the embedded framework to check the signature with either a public key or a shared secret flashed in the device or the software.
The signature must be checked before this installation (and then reboot if any) by the device.
</t>
  </si>
  <si>
    <t xml:space="preserve">As a user of AirVantage, I want the upgrade process to be robust against power off. Continue the installation as the power is back.
</t>
  </si>
  <si>
    <t xml:space="preserve">During an install operation: as a user of AirVantage, I want the module to notify the server of any operation status change: job started (accepted), job failed (refused, delayed, started, download complete, success, failed). </t>
  </si>
  <si>
    <t>AirVantage  DM Documentation</t>
  </si>
  <si>
    <t>This document shall provide the diagnostic and configuration parameters natively integrated into the device firmware that can be managed through AirVantage server.</t>
  </si>
  <si>
    <t>AirVantage sample code</t>
  </si>
  <si>
    <t>The product shall include some sample code/reference implementation to illustrate how to use the API.</t>
  </si>
  <si>
    <t>Bandwidth Documentation</t>
  </si>
  <si>
    <t>As a AirVantage user, I want to know the bandwidth consumption for heartbeat and for FW/SW download OTA as well as the overhead to send data.</t>
  </si>
  <si>
    <t>Settings Documentation</t>
  </si>
  <si>
    <t>As an embedded application developer,  I want to have a documentation about how to define settings in my application that can be read and writen from AirVantage.</t>
  </si>
  <si>
    <t>AirVantage communication Documentation</t>
  </si>
  <si>
    <t>The product shall include a Developer Guide detailing how to use the API related to AirVantage.
As an embedded application developer, I want to have a documentation about how to send data to AirVantage such as:
 - timestamped data or not timestamped
 - time series (telemetry data)
I want to have doc about how to received custom commands and acknowledgement.</t>
  </si>
  <si>
    <t xml:space="preserve">As an embedded developer I want to be able to use the update package sent by AirVantage to upgrade one or a set of external components (like the applications  on the host). These components can be outside the module. The application must be able to acknowledge the upgrade to the server.
 - AirVantage must be notified when and if the installation or upgrade succeeed or failed. 
- AirVantage must be notified with the current application name and the version installed in the asset.
- an application can be notified when each step of the process is done.
</t>
  </si>
  <si>
    <t>As an embedded developer, I want to be able to release my device embedded application for AirVantage in a single zip file including a set of files without meaning for the server or the module themselves. This file can contains delta, reverse or full binaries.</t>
  </si>
  <si>
    <t>As an AirVantage user, I want to use the delta only, delta+reverse and full packages directly available in AirVantage. This package can be sent to the external updater in order to install/upgrade any application on the host.</t>
  </si>
  <si>
    <t xml:space="preserve">As a user of AirVantage I want to be able to start &amp; stop remotely an application running on the host. I want to be able to confirm the application has been stoped to show up in AirVantage.
</t>
  </si>
  <si>
    <t>As a user of AirVantage I want to be able to delete an application on the host. I want to be able to confirm the application has been removed to AirVantage.</t>
  </si>
  <si>
    <t>As an AirVantage user, I want to be able to apply a multi upgrade (firmware and device embedded application) with a single package. If one upgrade failed, the server must be notified and the  device must fallback to the state prior to the multi part upgrade.</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</si>
  <si>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</si>
  <si>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</si>
  <si>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</si>
  <si>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</si>
  <si>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</si>
  <si>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</si>
  <si>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</si>
  <si>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</si>
  <si>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</si>
  <si>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</si>
  <si>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</si>
  <si>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</si>
  <si>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</si>
  <si>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</si>
  <si>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</si>
  <si>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</si>
  <si>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</si>
  <si>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</si>
  <si>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</si>
  <si>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</si>
  <si>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</si>
  <si>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</si>
  <si>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</si>
  <si>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</si>
  <si>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</si>
  <si>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</si>
  <si>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07.34</t>
  </si>
  <si>
    <t>07.35</t>
  </si>
  <si>
    <t>07.36</t>
  </si>
  <si>
    <t>07.37</t>
  </si>
  <si>
    <t>07.38</t>
  </si>
  <si>
    <t>07.39</t>
  </si>
  <si>
    <t>07.40</t>
  </si>
  <si>
    <t>07.41</t>
  </si>
  <si>
    <t>07.43</t>
  </si>
  <si>
    <t>07.45</t>
  </si>
  <si>
    <t>07.46</t>
  </si>
  <si>
    <t>07.47</t>
  </si>
  <si>
    <t>07.48</t>
  </si>
  <si>
    <t>07.50</t>
  </si>
  <si>
    <t>07.51</t>
  </si>
  <si>
    <t>07.52</t>
  </si>
  <si>
    <t>07.53</t>
  </si>
  <si>
    <t>07.54</t>
  </si>
  <si>
    <t>07.55</t>
  </si>
  <si>
    <t>07.56</t>
  </si>
  <si>
    <t>07.57</t>
  </si>
  <si>
    <t>07.58</t>
  </si>
  <si>
    <t>07.59</t>
  </si>
  <si>
    <t>Atlas Copco</t>
  </si>
  <si>
    <t>MangOH, Atlas Copco</t>
  </si>
  <si>
    <t>PSA</t>
  </si>
  <si>
    <t>Alligator, PSA</t>
  </si>
  <si>
    <t>[App Data] Application Settings</t>
  </si>
  <si>
    <t>[App Data] Data tree notification</t>
  </si>
  <si>
    <t>[App Data] Application variable</t>
  </si>
  <si>
    <t>[App Data] Application Data push</t>
  </si>
  <si>
    <t>[App Data] Multi applications support</t>
  </si>
  <si>
    <t>[App Data] Communication state notification</t>
  </si>
  <si>
    <t>[App Data] Application management: custom commands</t>
  </si>
  <si>
    <t>[App Data] Application discovery</t>
  </si>
  <si>
    <t>[App Data] Application data type</t>
  </si>
  <si>
    <t>[App Data] Time series data</t>
  </si>
  <si>
    <t>[App Data] Compression format</t>
  </si>
  <si>
    <t>16.01</t>
  </si>
  <si>
    <t>16.02</t>
  </si>
  <si>
    <t>16.03</t>
  </si>
  <si>
    <t>16.04</t>
  </si>
  <si>
    <t>16.05</t>
  </si>
  <si>
    <t>[Device Mgmt] Device registration</t>
  </si>
  <si>
    <t>[Device Mgmt] Synchronize device</t>
  </si>
  <si>
    <t>[Device Mgmt] Device Wakeup</t>
  </si>
  <si>
    <t>[Device Mgmt] Device Reboot</t>
  </si>
  <si>
    <t>[Device Mgmt] Device Reset to factory default</t>
  </si>
  <si>
    <t>[Device Mgmt] Device Management Activation</t>
  </si>
  <si>
    <t>[Device Mgmt] Monitoring framework</t>
  </si>
  <si>
    <t>[Host Proc Update] External Updater</t>
  </si>
  <si>
    <t>[Host Proc Update] Update Package Format</t>
  </si>
  <si>
    <t>[Host Proc Update] Delta and reverse package</t>
  </si>
  <si>
    <t>[Host Proc Update] Application management: start and stop</t>
  </si>
  <si>
    <t>[Host Proc Update] Application management: list</t>
  </si>
  <si>
    <t>[Host Proc Update] Application management: delete an application on the device</t>
  </si>
  <si>
    <t>[Host Proc Update] Multi upgrade with single package</t>
  </si>
  <si>
    <t>As a user of AirVantage I want to be able to install or upgrade an application bundle on the module including one or several applications and optionally the Legato application framework. I want to get a confirmation when the application bundle has been installed or to be notified if the installation failed (with the error message).
If one application or framework upgrade failed, the server must be notified and the module must fallback to the state prior to the bundle upgrade.</t>
  </si>
  <si>
    <t>Review with Christophe F./Robert J./Eric Sillere</t>
  </si>
  <si>
    <t>[App Data] Data Path Definition</t>
  </si>
  <si>
    <t>As a developer I want to define the path used to send my data to AV in order to be able to add more data in new versions without impacting previously defined data</t>
  </si>
  <si>
    <r>
      <t>As a use</t>
    </r>
    <r>
      <rPr>
        <sz val="11"/>
        <color theme="1"/>
        <rFont val="Calibri"/>
        <family val="2"/>
        <scheme val="minor"/>
      </rPr>
      <t xml:space="preserve">r of AirVantage I want to be able to install </t>
    </r>
    <r>
      <rPr>
        <sz val="11"/>
        <color theme="1"/>
        <rFont val="Calibri (Corps)"/>
      </rPr>
      <t>or upgrade</t>
    </r>
    <r>
      <rPr>
        <sz val="11"/>
        <color theme="1"/>
        <rFont val="Calibri"/>
        <family val="2"/>
        <scheme val="minor"/>
      </rPr>
      <t xml:space="preserve"> an application on the module. I want to get a confirmation </t>
    </r>
    <r>
      <rPr>
        <sz val="11"/>
        <color theme="1"/>
        <rFont val="Calibri (Corps)"/>
      </rPr>
      <t>when</t>
    </r>
    <r>
      <rPr>
        <sz val="11"/>
        <color theme="1"/>
        <rFont val="Calibri"/>
        <family val="2"/>
        <scheme val="minor"/>
      </rPr>
      <t xml:space="preserve"> the application has been installed or to be notified if the installation failed (with the error me</t>
    </r>
    <r>
      <rPr>
        <sz val="11"/>
        <color theme="1"/>
        <rFont val="Calibri"/>
        <family val="2"/>
        <scheme val="minor"/>
      </rPr>
      <t xml:space="preserve">ssage).
</t>
    </r>
  </si>
  <si>
    <r>
      <t>As a user of AirVantage I want to be able to start &amp; stop remot</t>
    </r>
    <r>
      <rPr>
        <sz val="11"/>
        <color theme="1"/>
        <rFont val="Calibri (Corps)"/>
      </rPr>
      <t xml:space="preserve">elly each  application running on the module. I want a confirmation when the </t>
    </r>
    <r>
      <rPr>
        <sz val="11"/>
        <color theme="1"/>
        <rFont val="Calibri"/>
        <family val="2"/>
        <scheme val="minor"/>
      </rPr>
      <t>application has been stoped.
As a embedded developer I want to be able to start &amp; stop  locally</t>
    </r>
    <r>
      <rPr>
        <sz val="11"/>
        <color theme="1"/>
        <rFont val="Calibri (Corps)"/>
      </rPr>
      <t xml:space="preserve"> each</t>
    </r>
    <r>
      <rPr>
        <sz val="11"/>
        <color rgb="FFFF0000"/>
        <rFont val="Calibri"/>
        <family val="2"/>
        <scheme val="minor"/>
      </rPr>
      <t xml:space="preserve"> </t>
    </r>
    <r>
      <rPr>
        <sz val="11"/>
        <color theme="1"/>
        <rFont val="Calibri"/>
        <family val="2"/>
        <scheme val="minor"/>
      </rPr>
      <t xml:space="preserve"> application running on the module. I want a confirmation when the application has been stoped.
</t>
    </r>
  </si>
  <si>
    <r>
      <t>As a user of AirVantage I want to be able to delet</t>
    </r>
    <r>
      <rPr>
        <sz val="11"/>
        <color theme="1"/>
        <rFont val="Calibri (Corps)"/>
      </rPr>
      <t xml:space="preserve">e each </t>
    </r>
    <r>
      <rPr>
        <sz val="11"/>
        <color theme="1"/>
        <rFont val="Calibri"/>
        <family val="2"/>
        <scheme val="minor"/>
      </rPr>
      <t>application on the module. I want to get a confirmation when the application has been removed.</t>
    </r>
  </si>
  <si>
    <t>[Device Mgmt] Modem Commands</t>
  </si>
  <si>
    <r>
      <t>As a user of AirVantage I want to be able to send a command to the wireless modem</t>
    </r>
    <r>
      <rPr>
        <sz val="11"/>
        <color theme="1"/>
        <rFont val="Calibri (Corps)"/>
      </rPr>
      <t xml:space="preserve"> (linux cmd line when the module is used as programmable module; AT cmd when the module is used as bit pipe module). I </t>
    </r>
    <r>
      <rPr>
        <sz val="11"/>
        <color theme="1"/>
        <rFont val="Calibri"/>
        <family val="2"/>
        <scheme val="minor"/>
      </rPr>
      <t>want to get the device' answer back to the server. I want to be able to send multiple coma separated commands and get replies from the device.</t>
    </r>
  </si>
  <si>
    <t>Spec: https://confluence.sierrawireless.com/display/AVDEVONBOARD/Bundle+Packages+Specification</t>
  </si>
  <si>
    <r>
      <t>As a user of AirVantage, I want to be able to upgrade the</t>
    </r>
    <r>
      <rPr>
        <sz val="11"/>
        <rFont val="Calibri"/>
        <family val="2"/>
        <scheme val="minor"/>
      </rPr>
      <t xml:space="preserve"> modem firmware of the module. </t>
    </r>
    <r>
      <rPr>
        <sz val="11"/>
        <color theme="1"/>
        <rFont val="Calibri (Corps)"/>
      </rPr>
      <t>I want to get a confirmation when the modem firmware has been installed or to be notified if the installation failed (with the error message).</t>
    </r>
    <r>
      <rPr>
        <sz val="11"/>
        <color theme="1"/>
        <rFont val="Calibri"/>
        <family val="2"/>
        <scheme val="minor"/>
      </rPr>
      <t xml:space="preserve"> </t>
    </r>
  </si>
  <si>
    <t>As a user of AirVantage, I want to be able to upgrade the module firmware as a bundle including one or severals of these subcomponents:
- modem firmware 
- carrier configuration (carrier PRI)
- customer configuration (customer PRI)
- MCU microcontroller firmware (only on WP products)
- linux bootloader
- linux kernel
- linux RTFS
- Legato factory (app framework + apps)
- linux User File System
I want to get a confirmation when the firmware bundle has been installed or to be notified if the installation failed (with the error message).
If one subcomponent upgrade failed, the server must be notified and the module must fallback to the state prior to the bundle upgrade.</t>
  </si>
  <si>
    <t>Spec: https://confluence.sierrawireless.com/display/AVDEVONBOARD/How+to+create+an+Application+Model+for+AirVantage+M2M+Cloud</t>
  </si>
  <si>
    <r>
      <t>As a user of AirVantage if a communication failure occurs during download of an update packag</t>
    </r>
    <r>
      <rPr>
        <sz val="11"/>
        <color theme="1"/>
        <rFont val="Calibri (Corps)"/>
      </rPr>
      <t>e (such as modem firmware, firmware bundle, application, application bundle), the module</t>
    </r>
    <r>
      <rPr>
        <sz val="11"/>
        <color rgb="FFFF0000"/>
        <rFont val="Calibri"/>
        <family val="2"/>
        <scheme val="minor"/>
      </rPr>
      <t xml:space="preserve"> </t>
    </r>
    <r>
      <rPr>
        <sz val="11"/>
        <color theme="1"/>
        <rFont val="Calibri"/>
        <family val="2"/>
        <scheme val="minor"/>
      </rPr>
      <t>download agent must to be able to</t>
    </r>
    <r>
      <rPr>
        <sz val="11"/>
        <color theme="1"/>
        <rFont val="Calibri (Corps)"/>
      </rPr>
      <t xml:space="preserve"> resume from </t>
    </r>
    <r>
      <rPr>
        <sz val="11"/>
        <color theme="1"/>
        <rFont val="Calibri"/>
        <family val="2"/>
        <scheme val="minor"/>
      </rPr>
      <t xml:space="preserve">the last successful chunk </t>
    </r>
    <r>
      <rPr>
        <sz val="11"/>
        <color theme="1"/>
        <rFont val="Calibri (Corps)"/>
      </rPr>
      <t>stored.</t>
    </r>
    <r>
      <rPr>
        <sz val="11"/>
        <color theme="1"/>
        <rFont val="Calibri"/>
        <family val="2"/>
        <scheme val="minor"/>
      </rPr>
      <t xml:space="preserve"> The retry mechanism must be based on an elastic timer. The retry timer intervals shall be configurable through an embedded API.
</t>
    </r>
  </si>
  <si>
    <r>
      <t>As a user of AirVantage I want to be able to</t>
    </r>
    <r>
      <rPr>
        <sz val="11"/>
        <color theme="1"/>
        <rFont val="Calibri (Corps)"/>
      </rPr>
      <t xml:space="preserve"> use delta patch technology (send only the difference between the binary source and the binary destination) for the modem firmware. </t>
    </r>
    <r>
      <rPr>
        <sz val="11"/>
        <color theme="1"/>
        <rFont val="Calibri"/>
        <family val="2"/>
        <scheme val="minor"/>
      </rPr>
      <t>I want the device to check that the installed version match the expected one (hash). I want the device to notify the server if there was some mismatch with what is actually installed on the device.</t>
    </r>
  </si>
  <si>
    <t>As a user of AirVantage I want to be able to use delta patch technology (send only the difference between the binary source and the binary destination) for the Linux kernel and RTFS. I want the device to check that the installed version match the expected one (hash). I want the device to notify the server if there was some mismatch with what is actually installed on the device.</t>
  </si>
  <si>
    <t>07.61</t>
  </si>
  <si>
    <t>As a user of AirVantage I want to be able to use delta patch technology (send only the difference between the binary source and the binary destination) for the applications. I want the device to check that the installed version match the expected one (hash). I want the device to notify the server if there was some mismatch with what is actually installed on the device.</t>
  </si>
  <si>
    <t>[Host Proc Update] Delta Patch for application</t>
  </si>
  <si>
    <t>[PKI] Certificate installation</t>
  </si>
  <si>
    <t>[PKI] Certificate revocation</t>
  </si>
  <si>
    <t>[PKI] Certificate deletion</t>
  </si>
  <si>
    <t>[PKI] Certificate renew</t>
  </si>
  <si>
    <t>[PKI] Certificate monitor</t>
  </si>
  <si>
    <t>As a fleet manager, I want to be able to install certificates on a device</t>
  </si>
  <si>
    <t>As a fleet manager, I want to be able to revocate a certificate on a device</t>
  </si>
  <si>
    <t>As a fleet manager, I want to be able to delete a certificate on a device</t>
  </si>
  <si>
    <t>As a fleet manager, I want to be able to renew a certificate on a device</t>
  </si>
  <si>
    <t>As a fleet manager, I want to be able to monitor a certificate on a device</t>
  </si>
  <si>
    <t>07.62</t>
  </si>
  <si>
    <t>07.63</t>
  </si>
  <si>
    <t>07.64</t>
  </si>
  <si>
    <t>07.65</t>
  </si>
  <si>
    <t>07.66</t>
  </si>
  <si>
    <t>07.67</t>
  </si>
  <si>
    <t>Device Log</t>
  </si>
  <si>
    <t>As a fleet manager, I want to be able to download the device log to  understand, debug a device on the field.</t>
  </si>
  <si>
    <t>07.68</t>
  </si>
  <si>
    <t>Remote shell</t>
  </si>
  <si>
    <t>As a fleet manager, I want to be able to access to my machine with a remote shell.</t>
  </si>
  <si>
    <t>AtlasCopco</t>
  </si>
  <si>
    <t>As a user of AirVantage I want to be able to list the applications available on the host with their status: started/stoped.
Each application available on the host shall be added in the Device Synchronize operation including the application identifier (name), revision (unique) and its state (started/stopped).</t>
  </si>
  <si>
    <r>
      <t>As a user of AirVantage I want to be able to send a wake up to</t>
    </r>
    <r>
      <rPr>
        <sz val="11"/>
        <color theme="1"/>
        <rFont val="Calibri (Corps)"/>
      </rPr>
      <t xml:space="preserve"> the wireless module to make it trigger a connection to AirVantage</t>
    </r>
    <r>
      <rPr>
        <sz val="11"/>
        <color theme="1"/>
        <rFont val="Calibri"/>
        <family val="2"/>
        <scheme val="minor"/>
      </rPr>
      <t xml:space="preserve"> server.
As a embedded developer, I want to be able to be notified on application level when such wake up is received.</t>
    </r>
  </si>
  <si>
    <r>
      <t xml:space="preserve">As an embedded developer, </t>
    </r>
    <r>
      <rPr>
        <sz val="11"/>
        <rFont val="Calibri (Corps)"/>
      </rPr>
      <t>I want to create the ZIP file package loadable on AirVantage to execute following operations:
- application upgrade
- application bundle upgrade
- firmware upgrade
- firmware bundle upgrade
This file can contains a set of files required as  installation description file such as xml file, kernel binary image file, compressed kernel binary image file, bootloader image file, Linux application file, compressed Linux application file or any combination of these files.</t>
    </r>
    <r>
      <rPr>
        <sz val="11"/>
        <rFont val="Calibri"/>
        <family val="2"/>
        <scheme val="minor"/>
      </rPr>
      <t xml:space="preserve"> </t>
    </r>
    <r>
      <rPr>
        <sz val="11"/>
        <rFont val="Calibri (Corps)"/>
      </rPr>
      <t>This file can contains delta, reverse or full binaries.</t>
    </r>
  </si>
  <si>
    <t>Review the new wording proposed by Jacques/Eric</t>
  </si>
  <si>
    <t>If the firmware bundle upgrade procedure does not work properly or provokes multiple reset, the previous version has to be re-installed.</t>
  </si>
  <si>
    <t>If the application upgrade procedure does not work properly or provokes multiple reset, the previous version has to be re-installed.</t>
  </si>
  <si>
    <t>If the application bundle upgrade procedure does not work properly or provokes multiple reset, the previous version has to be re-installed.</t>
  </si>
  <si>
    <t>[AOTA] Fallback on application bundle upgrade operation</t>
  </si>
  <si>
    <t>[AOTA] Fallback on application upgrade operation</t>
  </si>
  <si>
    <t>[FOTA] Fallback on firmware bundle upgrade operation</t>
  </si>
  <si>
    <t>07.42</t>
  </si>
  <si>
    <t>07.44</t>
  </si>
  <si>
    <t>07.49</t>
  </si>
  <si>
    <t>Review with Christophe F./Robert J./Eric Sillere.
Reset Title with "FOTA", "AOTA", "App Mgmt" terminology instead of "FW/SW"</t>
  </si>
  <si>
    <t>Not sure that current WP85/75 is supporting Fallback. To be confirmed</t>
  </si>
  <si>
    <t>Today, WP85/75 is not supporting this requirement</t>
  </si>
  <si>
    <t>AR/WP/EM Status fulfilled with Eric S.
Remaining actions:
- 07.20 (FOTA bundle on AR) to reword req
- Review N/A within EM/MC column with Robert J./Didier L.
- 07.35: check if WP supports 07.35 (Fallback Bundle Firmware OTA) and if not make sure it is implemented on WP76xx</t>
  </si>
  <si>
    <t>07.33</t>
  </si>
  <si>
    <t>As a user of AirVantage I want to be able to use delta patch technology (send only the difference between the binary source and the binary destination) for the Legato Application Framework. I want the device to check that the installed version match the expected one (hash). I want the device to notify the server if there was some mismatch with what is actually installed on the device.</t>
  </si>
  <si>
    <t>As a user of AirVantage I want to be able to use delta patch technology (send only the difference between the binary source and the binary destination) for Legato application. I want the device to check that the installed version match the expected one (hash). I want the device to notify the server if there was some mismatch with what is actually installed on the device.</t>
  </si>
  <si>
    <t>[FOTA-AOTA] [FW/SW] Delta Patch for Legato Apps</t>
  </si>
  <si>
    <r>
      <t xml:space="preserve">Insert feedback from Eric S. &amp; Christophe F. about AR Series:
- No 07.20 rewording
- Split req 07.30 "Delta Patch for Legato Application Framework and Apps" in 2 requirements (1 for Legato AF + 1 for apps)
Remove the </t>
    </r>
    <r>
      <rPr>
        <sz val="10"/>
        <color rgb="FFFF0000"/>
        <rFont val="Verdana"/>
        <family val="2"/>
      </rPr>
      <t>red</t>
    </r>
    <r>
      <rPr>
        <sz val="10"/>
        <rFont val="Verdana"/>
        <family val="2"/>
      </rPr>
      <t xml:space="preserve"> line for review
</t>
    </r>
  </si>
  <si>
    <t>[FOTA] Firmware Upgrade</t>
  </si>
  <si>
    <r>
      <rPr>
        <b/>
        <sz val="11"/>
        <rFont val="Calibri"/>
        <family val="2"/>
        <scheme val="minor"/>
      </rPr>
      <t xml:space="preserve">[FOTA] Firmware </t>
    </r>
    <r>
      <rPr>
        <b/>
        <sz val="11"/>
        <color theme="1"/>
        <rFont val="Calibri"/>
        <family val="2"/>
        <scheme val="minor"/>
      </rPr>
      <t>Bundle Upgrade</t>
    </r>
  </si>
  <si>
    <t>[AOTA] Install an application on module</t>
  </si>
  <si>
    <t>[AOTA] Install an application bundle on module</t>
  </si>
  <si>
    <t>[FOTA-AOTA] Multi upgrade</t>
  </si>
  <si>
    <t>[FOTA-AOTA] Update Package Format</t>
  </si>
  <si>
    <t>[FOTA] Firmware update controled by the application</t>
  </si>
  <si>
    <t>[FOTA-AOTA] Download upgrade resume</t>
  </si>
  <si>
    <t>[FOTA-AOTA] Update Package signature</t>
  </si>
  <si>
    <r>
      <t xml:space="preserve">[FOTA] </t>
    </r>
    <r>
      <rPr>
        <b/>
        <sz val="11"/>
        <rFont val="Calibri (Corps)"/>
      </rPr>
      <t>Delta Patch for modem firmware</t>
    </r>
  </si>
  <si>
    <t>[FOTA] Delta Patch for Linux kernel and RTFS</t>
  </si>
  <si>
    <t>[FOTA-AOTA] Delta Patch for Legato Application Framework</t>
  </si>
  <si>
    <t>[FOTA-AOTA] Robustness against power off</t>
  </si>
  <si>
    <t>[FOTA-AOTA] Remote Firmware Upgrade Notifications</t>
  </si>
  <si>
    <r>
      <rPr>
        <b/>
        <sz val="11"/>
        <rFont val="Calibri"/>
        <family val="2"/>
        <scheme val="minor"/>
      </rPr>
      <t>[FOTA] Fallback on firmware upgrade operation</t>
    </r>
    <r>
      <rPr>
        <b/>
        <strike/>
        <sz val="11"/>
        <color rgb="FFFF0000"/>
        <rFont val="Calibri"/>
        <family val="2"/>
        <scheme val="minor"/>
      </rPr>
      <t/>
    </r>
  </si>
  <si>
    <r>
      <t>I</t>
    </r>
    <r>
      <rPr>
        <sz val="11"/>
        <rFont val="Calibri"/>
        <family val="2"/>
        <scheme val="minor"/>
      </rPr>
      <t xml:space="preserve">f the firmware upgrade </t>
    </r>
    <r>
      <rPr>
        <sz val="11"/>
        <color theme="1"/>
        <rFont val="Calibri"/>
        <family val="2"/>
        <scheme val="minor"/>
      </rPr>
      <t>procedure does not work properly or provokes multiple reset, the previous version</t>
    </r>
    <r>
      <rPr>
        <sz val="11"/>
        <color theme="1"/>
        <rFont val="Calibri (Corps)"/>
      </rPr>
      <t xml:space="preserve"> has to be re-installed.</t>
    </r>
  </si>
  <si>
    <r>
      <rPr>
        <b/>
        <sz val="11"/>
        <rFont val="Calibri"/>
        <family val="2"/>
        <scheme val="minor"/>
      </rPr>
      <t xml:space="preserve">[App Mgmt] Start &amp; stop applications
</t>
    </r>
    <r>
      <rPr>
        <b/>
        <strike/>
        <sz val="11"/>
        <color rgb="FFFF0000"/>
        <rFont val="Calibri"/>
        <family val="2"/>
        <scheme val="minor"/>
      </rPr>
      <t/>
    </r>
  </si>
  <si>
    <t>[App Mgmt] List applications</t>
  </si>
  <si>
    <t>[App Mgmt] Delete applications</t>
  </si>
  <si>
    <t>YES</t>
  </si>
  <si>
    <t>07.69</t>
  </si>
  <si>
    <t>07.70</t>
  </si>
  <si>
    <t>07.60</t>
  </si>
  <si>
    <r>
      <t>As a user of AirVantage, I want to get the device, firmware, sim parameters and the list of applications installed on the module. For each application I want to be able to retrieve the application identifier (name), revision (unique) and its state (started/stopped): it's the device synchronization.
 - As a user of AirVantage, I want to be able to run a synchronization manually.
 - The synchronize mechanism must support the following parameters from the device:
- Signal Strength indicators: signal bars, rssi, ecio, rsrp, rsrq, rscp
- bearer used
- Network technology used
- current and parent IP @
- current Operator
- error code
- LAC
- Available network bearers
- Current Cell id
- Longitude / Lattitude
- Roaming Info
- Number of bytes sent / received since last reboot on the WAN interface
- Radio module temperature
- battery level
- quantity of sms sent/received
- Number of resets and Quantity of undesired reboots
- FW/SW version
- SW name
- iccid
- imsi
- ESN/IMEI/MEID
- Phone number
The paramete</t>
    </r>
    <r>
      <rPr>
        <sz val="11"/>
        <rFont val="Calibri"/>
        <family val="2"/>
        <scheme val="minor"/>
      </rPr>
      <t>rs shall follow the same tree structure for all module product lines HL/AR/WP/EM/MC</t>
    </r>
  </si>
  <si>
    <t>As a user of AirVantage M2M Cloud, I want to be able to configure the server  to report periodically a list of parameters monitored on my device or configure AirVantage to retrieve the following parameters from the device:
- Signal Strength indicators: signal bars, rssi, ecio, rsrp, rsrq, rscp
- bearer used
- Network technology used
- current and parent IP @
- current Operator
- error code
- LAC
- Available network bearers
- Current Cell id
- Longitude / Lattitude
- Roaming Info
- Number of bytes sent / received since last reboot on the WAN interface
- Radio module temperature
- battery level
- quantity of sms sent/received
- Number of resets and Quantity of undesired reboots
- FW/SW version
- SW name
I want to be able to configure the period the device reports.
I want to be able to select the list of parameters I want in this report</t>
  </si>
  <si>
    <t>As an embedded developer, I want to be able to supply the battery level.</t>
  </si>
  <si>
    <t>The following parameters shall be added to the previous list of 'synchronize device' parameters:
- Link utilization (%)
The parameters shall follow the same tree structure for all module product lines HL/AR/WP/EM/MC</t>
  </si>
  <si>
    <t>The following parameters shall be added to the previous list of 'Monitoring framework' parameters:
- Link utilization (%)
The parameters shall follow the same tree structure for all module product lines HL/AR/WP/EM/MC</t>
  </si>
  <si>
    <t>[Device Mgmt]
Set parameters outside of module</t>
  </si>
  <si>
    <t>- Split Req 07.13 'Synchronize Device' and 07.18 'Monitoring Framework' in 2 reqs in order to extract 'link utilization'
- Add 07.15 'Set parameters outside of module'</t>
  </si>
  <si>
    <t>A. Roche</t>
  </si>
  <si>
    <t>HL7800 (Phase 1)
Priority</t>
  </si>
  <si>
    <t>HL7800 (Phase 1)
Status</t>
  </si>
  <si>
    <t>Frédéric DUR</t>
  </si>
  <si>
    <t>FDU: supported in HL7800 Phase 1</t>
  </si>
  <si>
    <t>FDU: not supported in HL7800 Phase 1</t>
  </si>
  <si>
    <t>FDU: not supported in HL7800 Phase 1
Linked to monitoring which is required to phase 2</t>
  </si>
  <si>
    <t>FDU: same issue than all products
How to know if the platform is connected to a battery ?</t>
  </si>
  <si>
    <t>FDU: OK</t>
  </si>
  <si>
    <t>FDU: not supported like others products</t>
  </si>
  <si>
    <t>FDU: please indicate the use cas for HL78</t>
  </si>
  <si>
    <t>FDU: I don't know if it's implemented in HL78</t>
  </si>
  <si>
    <t>FDU: Asset data in Phase 1 or 2 ?</t>
  </si>
  <si>
    <t>Today WP85/75 is not supporting parameter inside command
FDU: not understood the request</t>
  </si>
  <si>
    <t>FDU: I think that it's not supported in phase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</si>
</sst>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hh:mm:ss"/>
    <numFmt numFmtId="165" formatCode="[$-409]d\-mmm\-yy;@"/>
  </numFmts>
  <fonts count="41">
    <font>
      <sz val="11"/>
      <color theme="1"/>
      <name val="Calibri"/>
      <family val="2"/>
      <scheme val="minor"/>
    </font>
    <font>
      <sz val="11"/>
      <color theme="0"/>
      <name val="Calibri"/>
      <family val="2"/>
      <scheme val="minor"/>
    </font>
    <font>
      <b/>
      <sz val="10"/>
      <name val="Arial"/>
      <family val="2"/>
    </font>
    <font>
      <sz val="10"/>
      <name val="Arial"/>
      <family val="2"/>
    </font>
    <font>
      <sz val="8"/>
      <color indexed="81"/>
      <name val="Tahoma"/>
      <family val="2"/>
    </font>
    <font>
      <b/>
      <sz val="8"/>
      <color indexed="81"/>
      <name val="Tahoma"/>
      <family val="2"/>
    </font>
    <font>
      <sz val="10"/>
      <name val="Verdana"/>
      <family val="2"/>
    </font>
    <font>
      <b/>
      <sz val="16"/>
      <name val="Verdana"/>
      <family val="2"/>
    </font>
    <font>
      <b/>
      <sz val="16"/>
      <color theme="0"/>
      <name val="Calibri"/>
      <family val="2"/>
      <scheme val="minor"/>
    </font>
    <font>
      <sz val="14"/>
      <name val="Verdana"/>
      <family val="2"/>
    </font>
    <font>
      <sz val="10"/>
      <color indexed="9"/>
      <name val="Verdana"/>
      <family val="2"/>
    </font>
    <font>
      <u/>
      <sz val="10"/>
      <color indexed="12"/>
      <name val="Verdana"/>
      <family val="2"/>
    </font>
    <font>
      <b/>
      <sz val="11"/>
      <color theme="1"/>
      <name val="Calibri"/>
      <family val="2"/>
      <scheme val="minor"/>
    </font>
    <font>
      <b/>
      <sz val="14"/>
      <color theme="4"/>
      <name val="Calibri"/>
      <family val="2"/>
      <scheme val="minor"/>
    </font>
    <font>
      <b/>
      <sz val="16"/>
      <color theme="1"/>
      <name val="Calibri"/>
      <family val="2"/>
      <scheme val="minor"/>
    </font>
    <font>
      <sz val="11"/>
      <color rgb="FFFF0000"/>
      <name val="Calibri"/>
      <family val="2"/>
      <scheme val="minor"/>
    </font>
    <font>
      <b/>
      <sz val="11"/>
      <name val="Calibri"/>
      <family val="2"/>
      <scheme val="minor"/>
    </font>
    <font>
      <sz val="12"/>
      <color theme="0"/>
      <name val="Calibri"/>
      <family val="2"/>
      <scheme val="minor"/>
    </font>
    <font>
      <b/>
      <sz val="12"/>
      <color theme="1"/>
      <name val="Calibri"/>
      <family val="2"/>
      <scheme val="minor"/>
    </font>
    <font>
      <b/>
      <sz val="8"/>
      <color indexed="48"/>
      <name val="Tahoma"/>
      <family val="2"/>
    </font>
    <font>
      <sz val="11"/>
      <name val="Calibri"/>
      <family val="2"/>
      <scheme val="minor"/>
    </font>
    <font>
      <b/>
      <u/>
      <sz val="8"/>
      <color indexed="48"/>
      <name val="Tahoma"/>
      <family val="2"/>
    </font>
    <font>
      <b/>
      <sz val="8"/>
      <color indexed="44"/>
      <name val="Tahoma"/>
      <family val="2"/>
    </font>
    <font>
      <b/>
      <sz val="8"/>
      <color indexed="55"/>
      <name val="Tahoma"/>
      <family val="2"/>
    </font>
    <font>
      <b/>
      <sz val="8"/>
      <color indexed="10"/>
      <name val="Tahoma"/>
      <family val="2"/>
    </font>
    <font>
      <sz val="8"/>
      <color indexed="48"/>
      <name val="Tahoma"/>
      <family val="2"/>
    </font>
    <font>
      <sz val="10"/>
      <color theme="0"/>
      <name val="Verdana"/>
      <family val="2"/>
    </font>
    <font>
      <b/>
      <sz val="11"/>
      <color theme="0"/>
      <name val="Calibri"/>
      <family val="2"/>
      <scheme val="minor"/>
    </font>
    <font>
      <sz val="11"/>
      <color theme="0" tint="-0.14999847407452621"/>
      <name val="Calibri"/>
      <family val="2"/>
      <scheme val="minor"/>
    </font>
    <font>
      <sz val="11"/>
      <color theme="3"/>
      <name val="Calibri"/>
      <family val="2"/>
      <scheme val="minor"/>
    </font>
    <font>
      <b/>
      <sz val="9"/>
      <color indexed="81"/>
      <name val="Tahoma"/>
    </font>
    <font>
      <sz val="9"/>
      <color indexed="81"/>
      <name val="Tahoma"/>
      <family val="2"/>
    </font>
    <font>
      <sz val="11"/>
      <color theme="1"/>
      <name val="Calibri"/>
      <family val="2"/>
      <scheme val="minor"/>
    </font>
    <font>
      <sz val="11"/>
      <color theme="5"/>
      <name val="Calibri"/>
      <family val="2"/>
      <scheme val="minor"/>
    </font>
    <font>
      <b/>
      <sz val="11"/>
      <color theme="5"/>
      <name val="Calibri"/>
      <family val="2"/>
      <scheme val="minor"/>
    </font>
    <font>
      <sz val="11"/>
      <color theme="1"/>
      <name val="Calibri (Corps)"/>
    </font>
    <font>
      <sz val="11"/>
      <name val="Calibri (Corps)"/>
    </font>
    <font>
      <b/>
      <sz val="11"/>
      <color rgb="FFFF0000"/>
      <name val="Calibri"/>
      <family val="2"/>
      <scheme val="minor"/>
    </font>
    <font>
      <b/>
      <strike/>
      <sz val="11"/>
      <color rgb="FFFF0000"/>
      <name val="Calibri"/>
      <family val="2"/>
      <scheme val="minor"/>
    </font>
    <font>
      <sz val="10"/>
      <color rgb="FFFF0000"/>
      <name val="Verdana"/>
      <family val="2"/>
    </font>
    <font>
      <b/>
      <sz val="11"/>
      <name val="Calibri (Corps)"/>
    </font>
  </fonts>
  <fills count="9">
    <fill>
      <patternFill patternType="none"/>
    </fill>
    <fill>
      <patternFill patternType="gray125"/>
    </fill>
    <fill>
      <patternFill patternType="solid">
        <fgColor theme="4"/>
      </patternFill>
    </fill>
    <fill>
      <patternFill patternType="solid">
        <fgColor indexed="9"/>
        <bgColor indexed="26"/>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theme="3" tint="0.79998168889431442"/>
        <bgColor indexed="64"/>
      </patternFill>
    </fill>
    <fill>
      <patternFill patternType="solid">
        <fgColor theme="3" tint="0.79998168889431442"/>
        <bgColor indexed="31"/>
      </patternFill>
    </fill>
  </fills>
  <borders count="54">
    <border>
      <left/>
      <right/>
      <top/>
      <bottom/>
      <diagonal/>
    </border>
    <border>
      <left style="thin">
        <color auto="1"/>
      </left>
      <right style="thin">
        <color auto="1"/>
      </right>
      <top style="thin">
        <color auto="1"/>
      </top>
      <bottom style="thin">
        <color auto="1"/>
      </bottom>
      <diagonal/>
    </border>
    <border>
      <left/>
      <right/>
      <top style="medium">
        <color auto="1"/>
      </top>
      <bottom/>
      <diagonal/>
    </border>
    <border>
      <left/>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bottom style="thick">
        <color theme="1" tint="0.499984740745262"/>
      </bottom>
      <diagonal/>
    </border>
    <border>
      <left style="thick">
        <color theme="1" tint="0.499984740745262"/>
      </left>
      <right style="thick">
        <color theme="1" tint="0.499984740745262"/>
      </right>
      <top style="thick">
        <color theme="1" tint="0.499984740745262"/>
      </top>
      <bottom/>
      <diagonal/>
    </border>
    <border>
      <left style="thick">
        <color theme="1" tint="0.499984740745262"/>
      </left>
      <right style="thick">
        <color theme="1" tint="0.499984740745262"/>
      </right>
      <top/>
      <bottom/>
      <diagonal/>
    </border>
    <border>
      <left style="thick">
        <color theme="1" tint="0.499984740745262"/>
      </left>
      <right style="thick">
        <color theme="1" tint="0.499984740745262"/>
      </right>
      <top/>
      <bottom style="thick">
        <color theme="1" tint="0.499984740745262"/>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3"/>
      </left>
      <right/>
      <top/>
      <bottom style="medium">
        <color auto="1"/>
      </bottom>
      <diagonal/>
    </border>
    <border>
      <left style="thin">
        <color auto="1"/>
      </left>
      <right style="thin">
        <color auto="1"/>
      </right>
      <top/>
      <bottom style="medium">
        <color auto="1"/>
      </bottom>
      <diagonal/>
    </border>
    <border>
      <left style="thin">
        <color indexed="63"/>
      </left>
      <right style="thin">
        <color indexed="63"/>
      </right>
      <top/>
      <bottom style="medium">
        <color auto="1"/>
      </bottom>
      <diagonal/>
    </border>
    <border>
      <left/>
      <right style="thin">
        <color indexed="63"/>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theme="0" tint="-0.34998626667073579"/>
      </top>
      <bottom style="thin">
        <color theme="0" tint="-0.34998626667073579"/>
      </bottom>
      <diagonal/>
    </border>
    <border>
      <left style="thin">
        <color auto="1"/>
      </left>
      <right style="thin">
        <color auto="1"/>
      </right>
      <top style="thin">
        <color theme="0" tint="-0.34998626667073579"/>
      </top>
      <bottom style="thin">
        <color theme="0" tint="-0.34998626667073579"/>
      </bottom>
      <diagonal/>
    </border>
    <border>
      <left/>
      <right style="thin">
        <color auto="1"/>
      </right>
      <top style="thin">
        <color theme="0" tint="-0.34998626667073579"/>
      </top>
      <bottom style="thin">
        <color theme="0" tint="-0.34998626667073579"/>
      </bottom>
      <diagonal/>
    </border>
    <border>
      <left style="thin">
        <color auto="1"/>
      </left>
      <right/>
      <top style="medium">
        <color auto="1"/>
      </top>
      <bottom style="medium">
        <color auto="1"/>
      </bottom>
      <diagonal/>
    </border>
    <border>
      <left style="thin">
        <color auto="1"/>
      </left>
      <right style="thin">
        <color indexed="63"/>
      </right>
      <top style="medium">
        <color auto="1"/>
      </top>
      <bottom style="medium">
        <color auto="1"/>
      </bottom>
      <diagonal/>
    </border>
    <border>
      <left style="thin">
        <color indexed="63"/>
      </left>
      <right/>
      <top style="medium">
        <color auto="1"/>
      </top>
      <bottom style="medium">
        <color auto="1"/>
      </bottom>
      <diagonal/>
    </border>
    <border>
      <left style="thin">
        <color indexed="63"/>
      </left>
      <right style="thin">
        <color indexed="63"/>
      </right>
      <top style="medium">
        <color auto="1"/>
      </top>
      <bottom style="medium">
        <color auto="1"/>
      </bottom>
      <diagonal/>
    </border>
    <border>
      <left style="medium">
        <color auto="1"/>
      </left>
      <right/>
      <top/>
      <bottom style="thin">
        <color auto="1"/>
      </bottom>
      <diagonal/>
    </border>
    <border>
      <left/>
      <right/>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theme="0" tint="-0.34998626667073579"/>
      </top>
      <bottom style="medium">
        <color auto="1"/>
      </bottom>
      <diagonal/>
    </border>
    <border>
      <left/>
      <right style="thin">
        <color auto="1"/>
      </right>
      <top style="thin">
        <color theme="0" tint="-0.34998626667073579"/>
      </top>
      <bottom style="medium">
        <color auto="1"/>
      </bottom>
      <diagonal/>
    </border>
    <border>
      <left style="thin">
        <color auto="1"/>
      </left>
      <right style="thin">
        <color auto="1"/>
      </right>
      <top style="thin">
        <color theme="0" tint="-0.34998626667073579"/>
      </top>
      <bottom style="medium">
        <color auto="1"/>
      </bottom>
      <diagonal/>
    </border>
    <border>
      <left style="thin">
        <color auto="1"/>
      </left>
      <right style="medium">
        <color auto="1"/>
      </right>
      <top style="thin">
        <color theme="0" tint="-0.34998626667073579"/>
      </top>
      <bottom style="thin">
        <color theme="0" tint="-0.34998626667073579"/>
      </bottom>
      <diagonal/>
    </border>
    <border>
      <left style="medium">
        <color auto="1"/>
      </left>
      <right style="thin">
        <color auto="1"/>
      </right>
      <top style="thin">
        <color theme="0" tint="-0.34998626667073579"/>
      </top>
      <bottom/>
      <diagonal/>
    </border>
    <border>
      <left/>
      <right style="thin">
        <color auto="1"/>
      </right>
      <top style="thin">
        <color theme="0" tint="-0.34998626667073579"/>
      </top>
      <bottom/>
      <diagonal/>
    </border>
    <border>
      <left style="thin">
        <color auto="1"/>
      </left>
      <right style="thin">
        <color auto="1"/>
      </right>
      <top style="thin">
        <color theme="0" tint="-0.34998626667073579"/>
      </top>
      <bottom/>
      <diagonal/>
    </border>
    <border>
      <left style="thin">
        <color auto="1"/>
      </left>
      <right/>
      <top style="thin">
        <color theme="0" tint="-0.34998626667073579"/>
      </top>
      <bottom/>
      <diagonal/>
    </border>
  </borders>
  <cellStyleXfs count="7">
    <xf numFmtId="0" fontId="0" fillId="0" borderId="0"/>
    <xf numFmtId="0" fontId="2" fillId="0" borderId="0" applyNumberFormat="0" applyFill="0" applyBorder="0" applyAlignment="0" applyProtection="0"/>
    <xf numFmtId="0" fontId="1" fillId="2" borderId="0" applyNumberFormat="0" applyBorder="0" applyAlignment="0" applyProtection="0"/>
    <xf numFmtId="0" fontId="6" fillId="0" borderId="0"/>
    <xf numFmtId="0" fontId="11" fillId="0" borderId="0" applyNumberFormat="0" applyFill="0" applyBorder="0" applyAlignment="0" applyProtection="0"/>
    <xf numFmtId="0" fontId="3" fillId="0" borderId="0"/>
    <xf numFmtId="9" fontId="3" fillId="0" borderId="0" applyFill="0" applyBorder="0" applyAlignment="0" applyProtection="0"/>
  </cellStyleXfs>
  <cellXfs count="194">
    <xf numFmtId="0" fontId="0" fillId="0" borderId="0" xfId="0"/>
    <xf numFmtId="0" fontId="9" fillId="0" borderId="0" xfId="3" applyFont="1" applyAlignment="1">
      <alignment horizontal="center" vertical="center"/>
    </xf>
    <xf numFmtId="0" fontId="6" fillId="0" borderId="0" xfId="3"/>
    <xf numFmtId="0" fontId="7" fillId="0" borderId="0" xfId="3" applyFont="1" applyAlignment="1">
      <alignment horizontal="center"/>
    </xf>
    <xf numFmtId="0" fontId="0" fillId="4" borderId="1" xfId="0" applyFill="1" applyBorder="1" applyAlignment="1">
      <alignment horizontal="left" vertical="center"/>
    </xf>
    <xf numFmtId="0" fontId="0" fillId="5" borderId="0" xfId="0" applyFill="1" applyAlignment="1">
      <alignment horizontal="left" vertical="center"/>
    </xf>
    <xf numFmtId="0" fontId="0" fillId="4" borderId="10" xfId="0" applyFill="1" applyBorder="1" applyAlignment="1">
      <alignment vertical="center"/>
    </xf>
    <xf numFmtId="0" fontId="13" fillId="4" borderId="2" xfId="0" applyFont="1" applyFill="1" applyBorder="1" applyAlignment="1">
      <alignment vertical="center"/>
    </xf>
    <xf numFmtId="0" fontId="0" fillId="4" borderId="2" xfId="0" applyFill="1" applyBorder="1" applyAlignment="1">
      <alignment vertical="center"/>
    </xf>
    <xf numFmtId="0" fontId="0" fillId="4" borderId="11" xfId="0" applyFill="1" applyBorder="1" applyAlignment="1">
      <alignment vertical="center"/>
    </xf>
    <xf numFmtId="0" fontId="0" fillId="4" borderId="12" xfId="0" applyFill="1" applyBorder="1" applyAlignment="1">
      <alignment vertical="center"/>
    </xf>
    <xf numFmtId="0" fontId="14" fillId="4" borderId="13" xfId="0" applyFont="1" applyFill="1" applyBorder="1" applyAlignment="1">
      <alignment horizontal="center" vertical="center"/>
    </xf>
    <xf numFmtId="0" fontId="13" fillId="4" borderId="0" xfId="0" applyFont="1" applyFill="1" applyBorder="1" applyAlignment="1">
      <alignment vertical="center"/>
    </xf>
    <xf numFmtId="0" fontId="0" fillId="4" borderId="0" xfId="0" applyFill="1" applyBorder="1" applyAlignment="1">
      <alignment vertical="center"/>
    </xf>
    <xf numFmtId="0" fontId="0" fillId="4" borderId="13" xfId="0" applyFill="1" applyBorder="1" applyAlignment="1">
      <alignment vertical="center"/>
    </xf>
    <xf numFmtId="0" fontId="12" fillId="4" borderId="0" xfId="0" applyFont="1" applyFill="1" applyBorder="1" applyAlignment="1">
      <alignment vertical="center"/>
    </xf>
    <xf numFmtId="0" fontId="0" fillId="4" borderId="14" xfId="0" applyFill="1" applyBorder="1" applyAlignment="1">
      <alignment vertical="center"/>
    </xf>
    <xf numFmtId="0" fontId="13" fillId="4" borderId="15" xfId="0" applyFont="1" applyFill="1" applyBorder="1" applyAlignment="1">
      <alignment vertical="center"/>
    </xf>
    <xf numFmtId="0" fontId="0" fillId="4" borderId="15" xfId="0" applyFill="1" applyBorder="1" applyAlignment="1">
      <alignment vertical="center"/>
    </xf>
    <xf numFmtId="0" fontId="0" fillId="4" borderId="16" xfId="0" applyFill="1" applyBorder="1" applyAlignment="1">
      <alignment vertical="center"/>
    </xf>
    <xf numFmtId="0" fontId="15" fillId="4" borderId="0" xfId="0" applyFont="1" applyFill="1" applyBorder="1" applyAlignment="1">
      <alignment vertical="center"/>
    </xf>
    <xf numFmtId="0" fontId="16" fillId="4" borderId="0" xfId="0" applyFont="1" applyFill="1" applyBorder="1" applyAlignment="1">
      <alignment vertical="center"/>
    </xf>
    <xf numFmtId="0" fontId="18" fillId="0" borderId="0" xfId="0" applyFont="1" applyFill="1" applyAlignment="1">
      <alignment vertical="center"/>
    </xf>
    <xf numFmtId="0" fontId="12" fillId="4" borderId="0" xfId="0" applyFont="1" applyFill="1" applyBorder="1" applyAlignment="1">
      <alignment horizontal="left" vertical="center" indent="2"/>
    </xf>
    <xf numFmtId="0" fontId="18" fillId="4" borderId="0" xfId="0" applyFont="1" applyFill="1" applyBorder="1" applyAlignment="1">
      <alignment vertical="center"/>
    </xf>
    <xf numFmtId="0" fontId="9" fillId="0" borderId="0" xfId="3" applyFont="1" applyAlignment="1">
      <alignment horizontal="center" vertical="center"/>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6" fillId="0" borderId="0" xfId="3" applyBorder="1"/>
    <xf numFmtId="0" fontId="14" fillId="4" borderId="0" xfId="0" applyFont="1" applyFill="1" applyBorder="1" applyAlignment="1">
      <alignment horizontal="center" vertical="center"/>
    </xf>
    <xf numFmtId="165" fontId="9" fillId="0" borderId="0" xfId="3" applyNumberFormat="1" applyFont="1" applyAlignment="1">
      <alignment horizontal="center" vertical="center"/>
    </xf>
    <xf numFmtId="165" fontId="6" fillId="0" borderId="0" xfId="3" applyNumberFormat="1"/>
    <xf numFmtId="165" fontId="6" fillId="0" borderId="29" xfId="3" applyNumberFormat="1" applyFont="1" applyBorder="1" applyAlignment="1">
      <alignment horizontal="center" vertical="top"/>
    </xf>
    <xf numFmtId="165" fontId="6" fillId="0" borderId="1" xfId="3" applyNumberFormat="1" applyFont="1" applyBorder="1" applyAlignment="1">
      <alignment horizontal="center" vertical="top"/>
    </xf>
    <xf numFmtId="0" fontId="0" fillId="5" borderId="0" xfId="0" applyFill="1"/>
    <xf numFmtId="0" fontId="12" fillId="7" borderId="1" xfId="0" applyFont="1" applyFill="1" applyBorder="1" applyAlignment="1">
      <alignment horizontal="left" vertical="center"/>
    </xf>
    <xf numFmtId="0" fontId="0" fillId="5" borderId="3" xfId="0" applyFill="1" applyBorder="1"/>
    <xf numFmtId="0" fontId="0" fillId="5" borderId="5" xfId="0" applyFill="1" applyBorder="1"/>
    <xf numFmtId="0" fontId="0" fillId="7" borderId="7" xfId="0" applyFill="1" applyBorder="1"/>
    <xf numFmtId="0" fontId="0" fillId="7" borderId="7" xfId="0" applyFill="1" applyBorder="1" applyAlignment="1">
      <alignment horizontal="center"/>
    </xf>
    <xf numFmtId="0" fontId="0" fillId="7" borderId="0" xfId="0" applyFill="1"/>
    <xf numFmtId="0" fontId="0" fillId="7" borderId="4" xfId="0" applyFill="1" applyBorder="1"/>
    <xf numFmtId="0" fontId="12" fillId="7" borderId="8" xfId="0" applyFont="1" applyFill="1" applyBorder="1"/>
    <xf numFmtId="0" fontId="0" fillId="7" borderId="8" xfId="0" applyFill="1" applyBorder="1" applyAlignment="1">
      <alignment horizontal="center"/>
    </xf>
    <xf numFmtId="0" fontId="0" fillId="7" borderId="5" xfId="0" applyFill="1" applyBorder="1"/>
    <xf numFmtId="0" fontId="0" fillId="7" borderId="8" xfId="0" applyFill="1" applyBorder="1"/>
    <xf numFmtId="164" fontId="0" fillId="7" borderId="8" xfId="0" applyNumberFormat="1" applyFill="1" applyBorder="1" applyAlignment="1">
      <alignment horizontal="center"/>
    </xf>
    <xf numFmtId="0" fontId="0" fillId="7" borderId="9" xfId="0" applyFill="1" applyBorder="1"/>
    <xf numFmtId="0" fontId="0" fillId="7" borderId="9" xfId="0" applyFill="1" applyBorder="1" applyAlignment="1">
      <alignment horizontal="center"/>
    </xf>
    <xf numFmtId="0" fontId="0" fillId="7" borderId="3" xfId="0" applyFill="1" applyBorder="1"/>
    <xf numFmtId="0" fontId="0" fillId="7" borderId="6" xfId="0" applyFill="1" applyBorder="1"/>
    <xf numFmtId="0" fontId="16" fillId="8" borderId="24" xfId="0" applyFont="1" applyFill="1" applyBorder="1" applyAlignment="1">
      <alignment horizontal="center" vertical="top" wrapText="1"/>
    </xf>
    <xf numFmtId="0" fontId="16" fillId="8" borderId="26" xfId="0" applyFont="1" applyFill="1" applyBorder="1" applyAlignment="1">
      <alignment horizontal="center" vertical="top" wrapText="1"/>
    </xf>
    <xf numFmtId="0" fontId="16" fillId="8" borderId="25" xfId="0" applyFont="1" applyFill="1" applyBorder="1" applyAlignment="1">
      <alignment horizontal="center" vertical="top" wrapText="1"/>
    </xf>
    <xf numFmtId="0" fontId="16" fillId="8" borderId="27" xfId="0" applyFont="1" applyFill="1" applyBorder="1" applyAlignment="1">
      <alignment horizontal="center" vertical="top" wrapText="1"/>
    </xf>
    <xf numFmtId="0" fontId="16" fillId="7" borderId="25" xfId="0" applyFont="1" applyFill="1" applyBorder="1" applyAlignment="1">
      <alignment horizontal="center" vertical="top" wrapText="1"/>
    </xf>
    <xf numFmtId="165" fontId="16" fillId="8" borderId="25" xfId="0" applyNumberFormat="1" applyFont="1" applyFill="1" applyBorder="1" applyAlignment="1">
      <alignment horizontal="center" vertical="top" wrapText="1"/>
    </xf>
    <xf numFmtId="0" fontId="16" fillId="8" borderId="22" xfId="0" applyFont="1" applyFill="1" applyBorder="1" applyAlignment="1">
      <alignment horizontal="center" vertical="top" wrapText="1"/>
    </xf>
    <xf numFmtId="49" fontId="10" fillId="5" borderId="15" xfId="0" applyNumberFormat="1" applyFont="1" applyFill="1" applyBorder="1" applyAlignment="1">
      <alignment horizontal="left" vertical="center"/>
    </xf>
    <xf numFmtId="0" fontId="10" fillId="5" borderId="15" xfId="0" applyFont="1" applyFill="1" applyBorder="1" applyAlignment="1">
      <alignment vertical="center"/>
    </xf>
    <xf numFmtId="0" fontId="0" fillId="5" borderId="15" xfId="0" applyFill="1" applyBorder="1"/>
    <xf numFmtId="0" fontId="0" fillId="5" borderId="15" xfId="0" applyFont="1" applyFill="1" applyBorder="1"/>
    <xf numFmtId="0" fontId="0" fillId="5" borderId="15" xfId="0" applyFill="1" applyBorder="1" applyAlignment="1">
      <alignment vertical="top"/>
    </xf>
    <xf numFmtId="165" fontId="0" fillId="5" borderId="15" xfId="0" applyNumberFormat="1" applyFill="1" applyBorder="1" applyAlignment="1">
      <alignment horizontal="center"/>
    </xf>
    <xf numFmtId="0" fontId="0" fillId="5" borderId="15" xfId="0" applyFill="1" applyBorder="1" applyAlignment="1">
      <alignment horizontal="center"/>
    </xf>
    <xf numFmtId="49" fontId="0" fillId="5" borderId="0" xfId="0" applyNumberFormat="1" applyFill="1"/>
    <xf numFmtId="0" fontId="0" fillId="5" borderId="0" xfId="0" applyFill="1" applyAlignment="1">
      <alignment horizontal="center" wrapText="1"/>
    </xf>
    <xf numFmtId="0" fontId="0" fillId="5" borderId="0" xfId="0" applyFont="1" applyFill="1"/>
    <xf numFmtId="0" fontId="20" fillId="5" borderId="0" xfId="3" applyFont="1" applyFill="1" applyBorder="1" applyAlignment="1" applyProtection="1">
      <alignment horizontal="center" vertical="center" wrapText="1"/>
      <protection locked="0"/>
    </xf>
    <xf numFmtId="0" fontId="0" fillId="5" borderId="0" xfId="0" applyFill="1" applyAlignment="1">
      <alignment vertical="top"/>
    </xf>
    <xf numFmtId="165" fontId="0" fillId="5" borderId="0" xfId="0" applyNumberFormat="1" applyFill="1" applyAlignment="1">
      <alignment horizontal="center"/>
    </xf>
    <xf numFmtId="0" fontId="0" fillId="5" borderId="0" xfId="0" applyFill="1" applyAlignment="1">
      <alignment horizontal="center"/>
    </xf>
    <xf numFmtId="0" fontId="2" fillId="5" borderId="0" xfId="1" applyNumberFormat="1" applyFont="1" applyFill="1" applyBorder="1" applyAlignment="1" applyProtection="1">
      <alignment horizontal="left" vertical="center" wrapText="1"/>
      <protection locked="0"/>
    </xf>
    <xf numFmtId="49" fontId="16" fillId="0" borderId="31" xfId="1" applyNumberFormat="1" applyFont="1" applyFill="1" applyBorder="1" applyAlignment="1" applyProtection="1">
      <alignment horizontal="center" vertical="center"/>
    </xf>
    <xf numFmtId="0" fontId="16" fillId="0" borderId="32" xfId="1" applyNumberFormat="1" applyFont="1" applyFill="1" applyBorder="1" applyAlignment="1" applyProtection="1">
      <alignment horizontal="left" vertical="center" wrapText="1"/>
      <protection locked="0"/>
    </xf>
    <xf numFmtId="0" fontId="0" fillId="0" borderId="32" xfId="1" applyNumberFormat="1" applyFont="1" applyFill="1" applyBorder="1" applyAlignment="1" applyProtection="1">
      <alignment horizontal="center" vertical="center"/>
    </xf>
    <xf numFmtId="0" fontId="16" fillId="0" borderId="32" xfId="1" applyNumberFormat="1" applyFont="1" applyFill="1" applyBorder="1" applyAlignment="1" applyProtection="1">
      <alignment horizontal="left" vertical="center"/>
    </xf>
    <xf numFmtId="0" fontId="16" fillId="0" borderId="33" xfId="1" applyNumberFormat="1" applyFont="1" applyFill="1" applyBorder="1" applyAlignment="1" applyProtection="1">
      <alignment horizontal="center" vertical="center"/>
    </xf>
    <xf numFmtId="165" fontId="0" fillId="0" borderId="32" xfId="0" applyNumberFormat="1" applyFont="1" applyBorder="1" applyAlignment="1">
      <alignment horizontal="center" vertical="center"/>
    </xf>
    <xf numFmtId="0" fontId="0" fillId="3" borderId="32" xfId="0" applyFont="1" applyFill="1" applyBorder="1" applyAlignment="1">
      <alignment horizontal="left" vertical="top" wrapText="1"/>
    </xf>
    <xf numFmtId="0" fontId="6" fillId="0" borderId="1" xfId="3" applyFont="1" applyBorder="1" applyAlignment="1">
      <alignment horizontal="center" vertical="top"/>
    </xf>
    <xf numFmtId="0" fontId="6" fillId="0" borderId="1" xfId="3" applyBorder="1" applyAlignment="1">
      <alignment horizontal="center" vertical="top"/>
    </xf>
    <xf numFmtId="0" fontId="6" fillId="0" borderId="17" xfId="3" applyBorder="1" applyAlignment="1">
      <alignment horizontal="left" vertical="top" wrapText="1"/>
    </xf>
    <xf numFmtId="0" fontId="6" fillId="0" borderId="30" xfId="3" applyBorder="1" applyAlignment="1">
      <alignment horizontal="left" vertical="top"/>
    </xf>
    <xf numFmtId="0" fontId="6" fillId="0" borderId="17" xfId="3" applyBorder="1" applyAlignment="1">
      <alignment horizontal="left" vertical="top"/>
    </xf>
    <xf numFmtId="0" fontId="6" fillId="0" borderId="29" xfId="3" applyFont="1" applyBorder="1" applyAlignment="1">
      <alignment horizontal="center" vertical="top"/>
    </xf>
    <xf numFmtId="0" fontId="11" fillId="4" borderId="0" xfId="4" applyFill="1" applyBorder="1" applyAlignment="1">
      <alignment vertical="center"/>
    </xf>
    <xf numFmtId="0" fontId="11" fillId="0" borderId="0" xfId="4"/>
    <xf numFmtId="49" fontId="6" fillId="0" borderId="28" xfId="3" applyNumberFormat="1" applyFont="1" applyBorder="1" applyAlignment="1">
      <alignment horizontal="center" vertical="top"/>
    </xf>
    <xf numFmtId="49" fontId="6" fillId="0" borderId="18" xfId="3" applyNumberFormat="1" applyFont="1" applyBorder="1" applyAlignment="1">
      <alignment horizontal="center" vertical="top"/>
    </xf>
    <xf numFmtId="0" fontId="16" fillId="8" borderId="34" xfId="0" applyFont="1" applyFill="1" applyBorder="1" applyAlignment="1">
      <alignment horizontal="center" vertical="top" wrapText="1"/>
    </xf>
    <xf numFmtId="49" fontId="16" fillId="8" borderId="35" xfId="0" applyNumberFormat="1" applyFont="1" applyFill="1" applyBorder="1" applyAlignment="1">
      <alignment horizontal="center" vertical="top" wrapText="1"/>
    </xf>
    <xf numFmtId="0" fontId="16" fillId="8" borderId="36" xfId="0" applyFont="1" applyFill="1" applyBorder="1" applyAlignment="1">
      <alignment horizontal="center" vertical="top" wrapText="1"/>
    </xf>
    <xf numFmtId="0" fontId="16" fillId="8" borderId="37" xfId="0" applyFont="1" applyFill="1" applyBorder="1" applyAlignment="1">
      <alignment horizontal="center" vertical="top" wrapText="1"/>
    </xf>
    <xf numFmtId="14" fontId="0" fillId="0" borderId="0" xfId="0" applyNumberFormat="1"/>
    <xf numFmtId="0" fontId="0" fillId="0" borderId="0" xfId="0" applyNumberFormat="1"/>
    <xf numFmtId="0" fontId="16" fillId="6" borderId="32" xfId="1" applyNumberFormat="1" applyFont="1" applyFill="1" applyBorder="1" applyAlignment="1" applyProtection="1">
      <alignment horizontal="left" vertical="center"/>
    </xf>
    <xf numFmtId="0" fontId="20" fillId="0" borderId="32" xfId="3" applyFont="1" applyFill="1" applyBorder="1" applyAlignment="1" applyProtection="1">
      <alignment horizontal="center" vertical="center" wrapText="1"/>
      <protection locked="0"/>
    </xf>
    <xf numFmtId="49" fontId="0" fillId="0" borderId="32" xfId="0" applyNumberFormat="1" applyFont="1" applyFill="1" applyBorder="1" applyAlignment="1">
      <alignment horizontal="left" vertical="top" wrapText="1"/>
    </xf>
    <xf numFmtId="14" fontId="16" fillId="8" borderId="22" xfId="0" applyNumberFormat="1" applyFont="1" applyFill="1" applyBorder="1" applyAlignment="1">
      <alignment horizontal="center" vertical="top" wrapText="1"/>
    </xf>
    <xf numFmtId="0" fontId="28" fillId="5" borderId="0" xfId="0" applyFont="1" applyFill="1"/>
    <xf numFmtId="0" fontId="28" fillId="5" borderId="13" xfId="0" applyFont="1" applyFill="1" applyBorder="1"/>
    <xf numFmtId="1" fontId="0" fillId="5" borderId="15" xfId="0" applyNumberFormat="1" applyFill="1" applyBorder="1" applyAlignment="1">
      <alignment horizontal="center"/>
    </xf>
    <xf numFmtId="1" fontId="16" fillId="8" borderId="25" xfId="0" applyNumberFormat="1" applyFont="1" applyFill="1" applyBorder="1" applyAlignment="1">
      <alignment horizontal="center" vertical="top" wrapText="1"/>
    </xf>
    <xf numFmtId="1" fontId="0" fillId="0" borderId="32" xfId="0" applyNumberFormat="1" applyFont="1" applyBorder="1" applyAlignment="1">
      <alignment horizontal="center" vertical="center"/>
    </xf>
    <xf numFmtId="1" fontId="0" fillId="6" borderId="32" xfId="0" applyNumberFormat="1" applyFont="1" applyFill="1" applyBorder="1" applyAlignment="1">
      <alignment horizontal="center" vertical="center"/>
    </xf>
    <xf numFmtId="1" fontId="0" fillId="5" borderId="0" xfId="0" applyNumberFormat="1" applyFill="1" applyAlignment="1">
      <alignment horizontal="center"/>
    </xf>
    <xf numFmtId="0" fontId="0" fillId="4" borderId="0" xfId="0" applyNumberFormat="1" applyFill="1"/>
    <xf numFmtId="49" fontId="16" fillId="0" borderId="31" xfId="1" applyNumberFormat="1" applyFont="1" applyFill="1" applyBorder="1" applyAlignment="1">
      <alignment horizontal="center" vertical="center"/>
    </xf>
    <xf numFmtId="0" fontId="16" fillId="0" borderId="33" xfId="1" applyNumberFormat="1" applyFont="1" applyFill="1" applyBorder="1" applyAlignment="1">
      <alignment horizontal="center" vertical="center"/>
    </xf>
    <xf numFmtId="0" fontId="16" fillId="0" borderId="32" xfId="1" applyNumberFormat="1" applyFont="1" applyFill="1" applyBorder="1" applyAlignment="1">
      <alignment horizontal="left" vertical="center" wrapText="1"/>
    </xf>
    <xf numFmtId="0" fontId="0" fillId="0" borderId="32" xfId="1" applyNumberFormat="1" applyFont="1" applyFill="1" applyBorder="1" applyAlignment="1">
      <alignment horizontal="center" vertical="center"/>
    </xf>
    <xf numFmtId="0" fontId="20" fillId="0" borderId="32" xfId="3" applyFont="1" applyFill="1" applyBorder="1" applyAlignment="1">
      <alignment horizontal="center" vertical="center" wrapText="1"/>
    </xf>
    <xf numFmtId="0" fontId="16" fillId="0" borderId="32" xfId="1" applyNumberFormat="1" applyFont="1" applyFill="1" applyBorder="1" applyAlignment="1">
      <alignment horizontal="left" vertical="center"/>
    </xf>
    <xf numFmtId="0" fontId="20" fillId="0" borderId="32" xfId="1" applyNumberFormat="1" applyFont="1" applyFill="1" applyBorder="1" applyAlignment="1" applyProtection="1">
      <alignment horizontal="left" vertical="center" wrapText="1"/>
      <protection locked="0"/>
    </xf>
    <xf numFmtId="0" fontId="29" fillId="0" borderId="0" xfId="0" applyFont="1" applyAlignment="1">
      <alignment horizontal="center"/>
    </xf>
    <xf numFmtId="0" fontId="8" fillId="2" borderId="40" xfId="2" applyFont="1" applyBorder="1" applyAlignment="1">
      <alignment horizontal="center" vertical="center"/>
    </xf>
    <xf numFmtId="165" fontId="8" fillId="2" borderId="41" xfId="2" applyNumberFormat="1" applyFont="1" applyBorder="1" applyAlignment="1">
      <alignment horizontal="center" vertical="center"/>
    </xf>
    <xf numFmtId="0" fontId="8" fillId="2" borderId="41" xfId="2" applyFont="1" applyBorder="1" applyAlignment="1">
      <alignment horizontal="center" vertical="center"/>
    </xf>
    <xf numFmtId="0" fontId="8" fillId="2" borderId="42" xfId="2" applyFont="1" applyBorder="1" applyAlignment="1">
      <alignment horizontal="center" vertical="center"/>
    </xf>
    <xf numFmtId="49" fontId="0" fillId="0" borderId="0" xfId="0" applyNumberFormat="1" applyFill="1"/>
    <xf numFmtId="0" fontId="0" fillId="0" borderId="0" xfId="0" applyFill="1"/>
    <xf numFmtId="0" fontId="0" fillId="0" borderId="0" xfId="0" applyFont="1" applyFill="1"/>
    <xf numFmtId="0" fontId="0" fillId="0" borderId="0" xfId="0" applyFill="1" applyAlignment="1">
      <alignment vertical="top"/>
    </xf>
    <xf numFmtId="165"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6" fillId="0" borderId="0" xfId="3" applyFill="1"/>
    <xf numFmtId="165" fontId="6" fillId="0" borderId="0" xfId="3" applyNumberFormat="1" applyFill="1"/>
    <xf numFmtId="0" fontId="7" fillId="0" borderId="0" xfId="3" applyFont="1" applyFill="1" applyAlignment="1">
      <alignment horizontal="center"/>
    </xf>
    <xf numFmtId="49" fontId="6" fillId="0" borderId="43" xfId="3" applyNumberFormat="1" applyFont="1" applyBorder="1" applyAlignment="1">
      <alignment horizontal="center" vertical="top"/>
    </xf>
    <xf numFmtId="165" fontId="6" fillId="0" borderId="44" xfId="3" applyNumberFormat="1" applyFont="1" applyBorder="1" applyAlignment="1">
      <alignment horizontal="center" vertical="top"/>
    </xf>
    <xf numFmtId="0" fontId="6" fillId="0" borderId="44" xfId="3" applyBorder="1" applyAlignment="1">
      <alignment horizontal="center" vertical="top"/>
    </xf>
    <xf numFmtId="0" fontId="6" fillId="0" borderId="45" xfId="3" applyBorder="1" applyAlignment="1">
      <alignment horizontal="left" vertical="top" wrapText="1"/>
    </xf>
    <xf numFmtId="49" fontId="16" fillId="6" borderId="46" xfId="1" applyNumberFormat="1" applyFont="1" applyFill="1" applyBorder="1" applyAlignment="1" applyProtection="1">
      <alignment horizontal="center" vertical="center"/>
    </xf>
    <xf numFmtId="0" fontId="16" fillId="6" borderId="47" xfId="1" applyNumberFormat="1" applyFont="1" applyFill="1" applyBorder="1" applyAlignment="1" applyProtection="1">
      <alignment horizontal="center" vertical="center"/>
    </xf>
    <xf numFmtId="0" fontId="16" fillId="6" borderId="48" xfId="1" applyNumberFormat="1" applyFont="1" applyFill="1" applyBorder="1" applyAlignment="1" applyProtection="1">
      <alignment horizontal="left" vertical="center" wrapText="1"/>
      <protection locked="0"/>
    </xf>
    <xf numFmtId="0" fontId="27" fillId="6" borderId="48" xfId="0" applyFont="1" applyFill="1" applyBorder="1" applyAlignment="1">
      <alignment horizontal="left" vertical="top" wrapText="1"/>
    </xf>
    <xf numFmtId="0" fontId="0" fillId="6" borderId="48" xfId="1" applyNumberFormat="1" applyFont="1" applyFill="1" applyBorder="1" applyAlignment="1" applyProtection="1">
      <alignment horizontal="center" vertical="center"/>
    </xf>
    <xf numFmtId="0" fontId="20" fillId="6" borderId="48" xfId="3" applyFont="1" applyFill="1" applyBorder="1" applyAlignment="1" applyProtection="1">
      <alignment horizontal="center" vertical="center" wrapText="1"/>
      <protection locked="0"/>
    </xf>
    <xf numFmtId="0" fontId="16" fillId="6" borderId="48" xfId="1" applyNumberFormat="1" applyFont="1" applyFill="1" applyBorder="1" applyAlignment="1" applyProtection="1">
      <alignment horizontal="left" vertical="center"/>
    </xf>
    <xf numFmtId="49" fontId="0" fillId="6" borderId="48" xfId="0" applyNumberFormat="1" applyFont="1" applyFill="1" applyBorder="1" applyAlignment="1">
      <alignment horizontal="left" vertical="top" wrapText="1"/>
    </xf>
    <xf numFmtId="165" fontId="0" fillId="6" borderId="48" xfId="0" applyNumberFormat="1" applyFont="1" applyFill="1" applyBorder="1" applyAlignment="1">
      <alignment horizontal="center" vertical="center"/>
    </xf>
    <xf numFmtId="0" fontId="16" fillId="8" borderId="23" xfId="0" applyFont="1" applyFill="1" applyBorder="1" applyAlignment="1">
      <alignment horizontal="center" vertical="top" wrapText="1"/>
    </xf>
    <xf numFmtId="0" fontId="16" fillId="0" borderId="49" xfId="1" applyNumberFormat="1" applyFont="1" applyFill="1" applyBorder="1" applyAlignment="1" applyProtection="1">
      <alignment horizontal="left" vertical="center"/>
    </xf>
    <xf numFmtId="49" fontId="16" fillId="0" borderId="50" xfId="1" applyNumberFormat="1" applyFont="1" applyFill="1" applyBorder="1" applyAlignment="1" applyProtection="1">
      <alignment horizontal="center" vertical="center"/>
    </xf>
    <xf numFmtId="0" fontId="16" fillId="0" borderId="51" xfId="1" applyNumberFormat="1" applyFont="1" applyFill="1" applyBorder="1" applyAlignment="1" applyProtection="1">
      <alignment horizontal="center" vertical="center"/>
    </xf>
    <xf numFmtId="0" fontId="16" fillId="0" borderId="52" xfId="1" applyNumberFormat="1" applyFont="1" applyFill="1" applyBorder="1" applyAlignment="1" applyProtection="1">
      <alignment horizontal="left" vertical="center" wrapText="1"/>
      <protection locked="0"/>
    </xf>
    <xf numFmtId="0" fontId="0" fillId="3" borderId="52" xfId="0" applyFont="1" applyFill="1" applyBorder="1" applyAlignment="1">
      <alignment horizontal="left" vertical="top" wrapText="1"/>
    </xf>
    <xf numFmtId="0" fontId="0" fillId="0" borderId="52" xfId="1" applyNumberFormat="1" applyFont="1" applyFill="1" applyBorder="1" applyAlignment="1" applyProtection="1">
      <alignment horizontal="center" vertical="center"/>
    </xf>
    <xf numFmtId="0" fontId="20" fillId="0" borderId="52" xfId="3" applyFont="1" applyFill="1" applyBorder="1" applyAlignment="1" applyProtection="1">
      <alignment horizontal="center" vertical="center" wrapText="1"/>
      <protection locked="0"/>
    </xf>
    <xf numFmtId="0" fontId="16" fillId="0" borderId="52" xfId="1" applyNumberFormat="1" applyFont="1" applyFill="1" applyBorder="1" applyAlignment="1" applyProtection="1">
      <alignment horizontal="left" vertical="center"/>
    </xf>
    <xf numFmtId="49" fontId="0" fillId="0" borderId="52" xfId="0" applyNumberFormat="1" applyFont="1" applyFill="1" applyBorder="1" applyAlignment="1">
      <alignment horizontal="left" vertical="top" wrapText="1"/>
    </xf>
    <xf numFmtId="165" fontId="0" fillId="0" borderId="52" xfId="0" applyNumberFormat="1" applyFont="1" applyBorder="1" applyAlignment="1">
      <alignment horizontal="center" vertical="center"/>
    </xf>
    <xf numFmtId="0" fontId="16" fillId="0" borderId="53" xfId="1" applyNumberFormat="1" applyFont="1" applyFill="1" applyBorder="1" applyAlignment="1" applyProtection="1">
      <alignment horizontal="left" vertical="center"/>
    </xf>
    <xf numFmtId="0" fontId="16" fillId="0" borderId="49" xfId="1" applyNumberFormat="1" applyFont="1" applyFill="1" applyBorder="1" applyAlignment="1">
      <alignment horizontal="left" vertical="center"/>
    </xf>
    <xf numFmtId="49" fontId="16" fillId="0" borderId="50" xfId="1" applyNumberFormat="1" applyFont="1" applyFill="1" applyBorder="1" applyAlignment="1">
      <alignment horizontal="center" vertical="center"/>
    </xf>
    <xf numFmtId="0" fontId="16" fillId="0" borderId="51" xfId="1" applyNumberFormat="1" applyFont="1" applyFill="1" applyBorder="1" applyAlignment="1">
      <alignment horizontal="center" vertical="center"/>
    </xf>
    <xf numFmtId="0" fontId="16" fillId="0" borderId="52" xfId="1" applyNumberFormat="1" applyFont="1" applyFill="1" applyBorder="1" applyAlignment="1">
      <alignment horizontal="left" vertical="center" wrapText="1"/>
    </xf>
    <xf numFmtId="0" fontId="0" fillId="0" borderId="52" xfId="1" applyNumberFormat="1" applyFont="1" applyFill="1" applyBorder="1" applyAlignment="1">
      <alignment horizontal="center" vertical="center"/>
    </xf>
    <xf numFmtId="0" fontId="20" fillId="0" borderId="52" xfId="3" applyFont="1" applyFill="1" applyBorder="1" applyAlignment="1">
      <alignment horizontal="center" vertical="center" wrapText="1"/>
    </xf>
    <xf numFmtId="0" fontId="16" fillId="0" borderId="52" xfId="1" applyNumberFormat="1" applyFont="1" applyFill="1" applyBorder="1" applyAlignment="1">
      <alignment horizontal="left" vertical="center"/>
    </xf>
    <xf numFmtId="0" fontId="16" fillId="0" borderId="53" xfId="1" applyNumberFormat="1" applyFont="1" applyFill="1" applyBorder="1" applyAlignment="1">
      <alignment horizontal="left" vertical="center"/>
    </xf>
    <xf numFmtId="0" fontId="0" fillId="3" borderId="32" xfId="0" applyFont="1" applyFill="1" applyBorder="1" applyAlignment="1">
      <alignment horizontal="center" vertical="center" wrapText="1"/>
    </xf>
    <xf numFmtId="0" fontId="0" fillId="3" borderId="52" xfId="0" applyFont="1" applyFill="1" applyBorder="1" applyAlignment="1">
      <alignment horizontal="center" vertical="center" wrapText="1"/>
    </xf>
    <xf numFmtId="0" fontId="20" fillId="0" borderId="32" xfId="1" applyNumberFormat="1" applyFont="1" applyFill="1" applyBorder="1" applyAlignment="1" applyProtection="1">
      <alignment horizontal="center" vertical="center"/>
    </xf>
    <xf numFmtId="0" fontId="20" fillId="0" borderId="52" xfId="1" applyNumberFormat="1" applyFont="1" applyFill="1" applyBorder="1" applyAlignment="1" applyProtection="1">
      <alignment horizontal="center" vertical="center"/>
    </xf>
    <xf numFmtId="0" fontId="16" fillId="8" borderId="20" xfId="0" applyFont="1" applyFill="1" applyBorder="1" applyAlignment="1">
      <alignment horizontal="center" vertical="top" wrapText="1"/>
    </xf>
    <xf numFmtId="0" fontId="16" fillId="8" borderId="15" xfId="0" applyFont="1" applyFill="1" applyBorder="1" applyAlignment="1">
      <alignment horizontal="center" vertical="top" wrapText="1"/>
    </xf>
    <xf numFmtId="0" fontId="20" fillId="0" borderId="32" xfId="1" applyNumberFormat="1" applyFont="1" applyFill="1" applyBorder="1" applyAlignment="1">
      <alignment horizontal="center" vertical="center"/>
    </xf>
    <xf numFmtId="0" fontId="20" fillId="0" borderId="52" xfId="1" applyNumberFormat="1" applyFont="1" applyFill="1" applyBorder="1" applyAlignment="1">
      <alignment horizontal="center" vertical="center"/>
    </xf>
    <xf numFmtId="49" fontId="15" fillId="0" borderId="32" xfId="0" applyNumberFormat="1" applyFont="1" applyFill="1" applyBorder="1" applyAlignment="1">
      <alignment horizontal="left" vertical="top" wrapText="1"/>
    </xf>
    <xf numFmtId="49" fontId="15" fillId="0" borderId="52" xfId="0" applyNumberFormat="1" applyFont="1" applyFill="1" applyBorder="1" applyAlignment="1">
      <alignment horizontal="left" vertical="top" wrapText="1"/>
    </xf>
    <xf numFmtId="0" fontId="20" fillId="3" borderId="32" xfId="0" applyFont="1" applyFill="1" applyBorder="1" applyAlignment="1">
      <alignment horizontal="left" vertical="top" wrapText="1"/>
    </xf>
    <xf numFmtId="0" fontId="6" fillId="0" borderId="44" xfId="3" applyFont="1" applyBorder="1" applyAlignment="1">
      <alignment horizontal="center" vertical="top"/>
    </xf>
    <xf numFmtId="0" fontId="33" fillId="3" borderId="52" xfId="0" applyFont="1" applyFill="1" applyBorder="1" applyAlignment="1">
      <alignment horizontal="left" vertical="top" wrapText="1"/>
    </xf>
    <xf numFmtId="0" fontId="34" fillId="0" borderId="52" xfId="1" applyNumberFormat="1" applyFont="1" applyFill="1" applyBorder="1" applyAlignment="1" applyProtection="1">
      <alignment horizontal="left" vertical="center" wrapText="1"/>
      <protection locked="0"/>
    </xf>
    <xf numFmtId="49" fontId="12" fillId="0" borderId="50" xfId="1" applyNumberFormat="1" applyFont="1" applyFill="1" applyBorder="1" applyAlignment="1" applyProtection="1">
      <alignment horizontal="center" vertical="center"/>
    </xf>
    <xf numFmtId="0" fontId="12" fillId="0" borderId="51" xfId="1" applyNumberFormat="1" applyFont="1" applyFill="1" applyBorder="1" applyAlignment="1" applyProtection="1">
      <alignment horizontal="center" vertical="center"/>
    </xf>
    <xf numFmtId="0" fontId="12" fillId="0" borderId="52" xfId="1" applyNumberFormat="1" applyFont="1" applyFill="1" applyBorder="1" applyAlignment="1" applyProtection="1">
      <alignment horizontal="left" vertical="center" wrapText="1"/>
      <protection locked="0"/>
    </xf>
    <xf numFmtId="0" fontId="32" fillId="3" borderId="52" xfId="0" applyFont="1" applyFill="1" applyBorder="1" applyAlignment="1">
      <alignment horizontal="left" vertical="top" wrapText="1"/>
    </xf>
    <xf numFmtId="0" fontId="35" fillId="3" borderId="52" xfId="0" applyFont="1" applyFill="1" applyBorder="1" applyAlignment="1">
      <alignment horizontal="left" vertical="top" wrapText="1"/>
    </xf>
    <xf numFmtId="0" fontId="20" fillId="3" borderId="52" xfId="0" applyFont="1" applyFill="1" applyBorder="1" applyAlignment="1">
      <alignment horizontal="left" vertical="top" wrapText="1"/>
    </xf>
    <xf numFmtId="49" fontId="20" fillId="0" borderId="52" xfId="0" applyNumberFormat="1" applyFont="1" applyFill="1" applyBorder="1" applyAlignment="1">
      <alignment horizontal="left" vertical="top" wrapText="1"/>
    </xf>
    <xf numFmtId="0" fontId="37" fillId="0" borderId="52" xfId="1" applyNumberFormat="1" applyFont="1" applyFill="1" applyBorder="1" applyAlignment="1" applyProtection="1">
      <alignment horizontal="left" vertical="center" wrapText="1"/>
      <protection locked="0"/>
    </xf>
    <xf numFmtId="0" fontId="6" fillId="0" borderId="45" xfId="3" quotePrefix="1" applyBorder="1" applyAlignment="1">
      <alignment horizontal="left" vertical="top" wrapText="1"/>
    </xf>
    <xf numFmtId="0" fontId="8" fillId="2" borderId="19" xfId="2" applyFont="1" applyBorder="1" applyAlignment="1">
      <alignment horizontal="center" vertical="center"/>
    </xf>
    <xf numFmtId="0" fontId="8" fillId="2" borderId="20" xfId="2" applyFont="1" applyBorder="1" applyAlignment="1">
      <alignment horizontal="center" vertical="center"/>
    </xf>
    <xf numFmtId="0" fontId="8" fillId="2" borderId="21" xfId="2" applyFont="1" applyBorder="1" applyAlignment="1">
      <alignment horizontal="center" vertical="center"/>
    </xf>
    <xf numFmtId="0" fontId="26" fillId="6" borderId="38" xfId="3" applyFont="1" applyFill="1" applyBorder="1" applyAlignment="1">
      <alignment horizontal="center"/>
    </xf>
    <xf numFmtId="0" fontId="26" fillId="6" borderId="39" xfId="3" applyFont="1" applyFill="1" applyBorder="1" applyAlignment="1">
      <alignment horizontal="center"/>
    </xf>
    <xf numFmtId="0" fontId="27" fillId="6" borderId="0" xfId="0" applyFont="1" applyFill="1" applyAlignment="1">
      <alignment horizontal="center"/>
    </xf>
    <xf numFmtId="0" fontId="14" fillId="4" borderId="0" xfId="0" applyFont="1" applyFill="1" applyBorder="1" applyAlignment="1">
      <alignment horizontal="center" vertical="center"/>
    </xf>
    <xf numFmtId="0" fontId="0" fillId="0" borderId="0" xfId="0" applyBorder="1" applyAlignment="1">
      <alignment vertical="center"/>
    </xf>
  </cellXfs>
  <cellStyles count="7">
    <cellStyle name="Accent1" xfId="2" builtinId="29"/>
    <cellStyle name="Hyperlink" xfId="4" builtinId="8"/>
    <cellStyle name="Normal" xfId="0" builtinId="0"/>
    <cellStyle name="Normal 2" xfId="3" xr:uid="{00000000-0005-0000-0000-000003000000}"/>
    <cellStyle name="Normal 3" xfId="5" xr:uid="{00000000-0005-0000-0000-000004000000}"/>
    <cellStyle name="Pourcentage 2" xfId="6" xr:uid="{00000000-0005-0000-0000-000005000000}"/>
    <cellStyle name="RowLevel_1" xfId="1" builtinId="1" iLevel="0"/>
  </cellStyles>
  <dxfs count="868">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FF0000"/>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Indicators!$L$3</c:f>
          <c:strCache>
            <c:ptCount val="1"/>
            <c:pt idx="0">
              <c:v>All products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AC79-4C29-9E65-8C758B5C1F18}"/>
              </c:ext>
            </c:extLst>
          </c:dPt>
          <c:dPt>
            <c:idx val="2"/>
            <c:bubble3D val="0"/>
            <c:spPr>
              <a:solidFill>
                <a:schemeClr val="accent6"/>
              </a:solidFill>
            </c:spPr>
            <c:extLst>
              <c:ext xmlns:c16="http://schemas.microsoft.com/office/drawing/2014/chart" uri="{C3380CC4-5D6E-409C-BE32-E72D297353CC}">
                <c16:uniqueId val="{00000003-AC79-4C29-9E65-8C758B5C1F18}"/>
              </c:ext>
            </c:extLst>
          </c:dPt>
          <c:dPt>
            <c:idx val="3"/>
            <c:bubble3D val="0"/>
            <c:spPr>
              <a:solidFill>
                <a:schemeClr val="accent1"/>
              </a:solidFill>
            </c:spPr>
            <c:extLst>
              <c:ext xmlns:c16="http://schemas.microsoft.com/office/drawing/2014/chart" uri="{C3380CC4-5D6E-409C-BE32-E72D297353CC}">
                <c16:uniqueId val="{00000005-AC79-4C29-9E65-8C758B5C1F18}"/>
              </c:ext>
            </c:extLst>
          </c:dPt>
          <c:dPt>
            <c:idx val="4"/>
            <c:bubble3D val="0"/>
            <c:spPr>
              <a:solidFill>
                <a:schemeClr val="bg1">
                  <a:lumMod val="75000"/>
                </a:schemeClr>
              </a:solidFill>
            </c:spPr>
            <c:extLst>
              <c:ext xmlns:c16="http://schemas.microsoft.com/office/drawing/2014/chart" uri="{C3380CC4-5D6E-409C-BE32-E72D297353CC}">
                <c16:uniqueId val="{00000007-AC79-4C29-9E65-8C758B5C1F18}"/>
              </c:ext>
            </c:extLst>
          </c:dPt>
          <c:dLbls>
            <c:spPr>
              <a:noFill/>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Indicators!$L$6:$L$10</c:f>
              <c:strCache>
                <c:ptCount val="5"/>
                <c:pt idx="0">
                  <c:v>ACCEPTED</c:v>
                </c:pt>
                <c:pt idx="1">
                  <c:v>REJECTED</c:v>
                </c:pt>
                <c:pt idx="2">
                  <c:v>STUDY</c:v>
                </c:pt>
                <c:pt idx="3">
                  <c:v>PENDING</c:v>
                </c:pt>
                <c:pt idx="4">
                  <c:v>N/A</c:v>
                </c:pt>
              </c:strCache>
            </c:strRef>
          </c:cat>
          <c:val>
            <c:numRef>
              <c:f>Indicators!$M$6:$M$10</c:f>
              <c:numCache>
                <c:formatCode>General</c:formatCode>
                <c:ptCount val="5"/>
                <c:pt idx="0">
                  <c:v>158</c:v>
                </c:pt>
                <c:pt idx="1">
                  <c:v>1</c:v>
                </c:pt>
                <c:pt idx="2">
                  <c:v>0</c:v>
                </c:pt>
                <c:pt idx="3">
                  <c:v>0</c:v>
                </c:pt>
                <c:pt idx="4">
                  <c:v>0</c:v>
                </c:pt>
              </c:numCache>
            </c:numRef>
          </c:val>
          <c:extLst>
            <c:ext xmlns:c16="http://schemas.microsoft.com/office/drawing/2014/chart" uri="{C3380CC4-5D6E-409C-BE32-E72D297353CC}">
              <c16:uniqueId val="{00000008-AC79-4C29-9E65-8C758B5C1F18}"/>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2" l="0.70000000000000095" r="0.70000000000000095" t="0.750000000000002"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Indicators!$L$23</c:f>
          <c:strCache>
            <c:ptCount val="1"/>
            <c:pt idx="0">
              <c:v>All products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6843-4BAA-895F-B6D27C241160}"/>
              </c:ext>
            </c:extLst>
          </c:dPt>
          <c:dPt>
            <c:idx val="2"/>
            <c:bubble3D val="0"/>
            <c:spPr>
              <a:solidFill>
                <a:schemeClr val="accent6"/>
              </a:solidFill>
            </c:spPr>
            <c:extLst>
              <c:ext xmlns:c16="http://schemas.microsoft.com/office/drawing/2014/chart" uri="{C3380CC4-5D6E-409C-BE32-E72D297353CC}">
                <c16:uniqueId val="{00000003-6843-4BAA-895F-B6D27C241160}"/>
              </c:ext>
            </c:extLst>
          </c:dPt>
          <c:dPt>
            <c:idx val="3"/>
            <c:bubble3D val="0"/>
            <c:spPr>
              <a:solidFill>
                <a:schemeClr val="accent1"/>
              </a:solidFill>
              <a:ln>
                <a:solidFill>
                  <a:schemeClr val="accent1"/>
                </a:solidFill>
              </a:ln>
            </c:spPr>
            <c:extLst>
              <c:ext xmlns:c16="http://schemas.microsoft.com/office/drawing/2014/chart" uri="{C3380CC4-5D6E-409C-BE32-E72D297353CC}">
                <c16:uniqueId val="{00000005-6843-4BAA-895F-B6D27C241160}"/>
              </c:ext>
            </c:extLst>
          </c:dPt>
          <c:dPt>
            <c:idx val="4"/>
            <c:bubble3D val="0"/>
            <c:spPr>
              <a:solidFill>
                <a:schemeClr val="bg1">
                  <a:lumMod val="75000"/>
                </a:schemeClr>
              </a:solidFill>
            </c:spPr>
            <c:extLst>
              <c:ext xmlns:c16="http://schemas.microsoft.com/office/drawing/2014/chart" uri="{C3380CC4-5D6E-409C-BE32-E72D297353CC}">
                <c16:uniqueId val="{00000007-6843-4BAA-895F-B6D27C241160}"/>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Indicators!$L$26:$L$30</c:f>
              <c:strCache>
                <c:ptCount val="5"/>
                <c:pt idx="0">
                  <c:v>ACCEPTED</c:v>
                </c:pt>
                <c:pt idx="1">
                  <c:v>REJECTED</c:v>
                </c:pt>
                <c:pt idx="2">
                  <c:v>STUDY</c:v>
                </c:pt>
                <c:pt idx="3">
                  <c:v>PENDING</c:v>
                </c:pt>
                <c:pt idx="4">
                  <c:v>N/A</c:v>
                </c:pt>
              </c:strCache>
            </c:strRef>
          </c:cat>
          <c:val>
            <c:numRef>
              <c:f>Indicators!$M$26:$M$30</c:f>
              <c:numCache>
                <c:formatCode>General</c:formatCode>
                <c:ptCount val="5"/>
                <c:pt idx="0">
                  <c:v>163</c:v>
                </c:pt>
                <c:pt idx="1">
                  <c:v>84</c:v>
                </c:pt>
                <c:pt idx="2">
                  <c:v>0</c:v>
                </c:pt>
                <c:pt idx="3">
                  <c:v>0</c:v>
                </c:pt>
                <c:pt idx="4">
                  <c:v>53</c:v>
                </c:pt>
              </c:numCache>
            </c:numRef>
          </c:val>
          <c:extLst>
            <c:ext xmlns:c16="http://schemas.microsoft.com/office/drawing/2014/chart" uri="{C3380CC4-5D6E-409C-BE32-E72D297353CC}">
              <c16:uniqueId val="{00000008-6843-4BAA-895F-B6D27C241160}"/>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Indicators!$O$3</c:f>
          <c:strCache>
            <c:ptCount val="1"/>
            <c:pt idx="0">
              <c:v>AR Series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D214-4A3C-BF13-1DC49B4E7B61}"/>
              </c:ext>
            </c:extLst>
          </c:dPt>
          <c:dPt>
            <c:idx val="2"/>
            <c:bubble3D val="0"/>
            <c:spPr>
              <a:solidFill>
                <a:schemeClr val="accent6"/>
              </a:solidFill>
            </c:spPr>
            <c:extLst>
              <c:ext xmlns:c16="http://schemas.microsoft.com/office/drawing/2014/chart" uri="{C3380CC4-5D6E-409C-BE32-E72D297353CC}">
                <c16:uniqueId val="{00000003-D214-4A3C-BF13-1DC49B4E7B61}"/>
              </c:ext>
            </c:extLst>
          </c:dPt>
          <c:dPt>
            <c:idx val="3"/>
            <c:bubble3D val="0"/>
            <c:spPr>
              <a:solidFill>
                <a:schemeClr val="accent1"/>
              </a:solidFill>
            </c:spPr>
            <c:extLst>
              <c:ext xmlns:c16="http://schemas.microsoft.com/office/drawing/2014/chart" uri="{C3380CC4-5D6E-409C-BE32-E72D297353CC}">
                <c16:uniqueId val="{00000005-D214-4A3C-BF13-1DC49B4E7B61}"/>
              </c:ext>
            </c:extLst>
          </c:dPt>
          <c:dPt>
            <c:idx val="4"/>
            <c:bubble3D val="0"/>
            <c:spPr>
              <a:solidFill>
                <a:schemeClr val="bg1">
                  <a:lumMod val="75000"/>
                </a:schemeClr>
              </a:solidFill>
            </c:spPr>
            <c:extLst>
              <c:ext xmlns:c16="http://schemas.microsoft.com/office/drawing/2014/chart" uri="{C3380CC4-5D6E-409C-BE32-E72D297353CC}">
                <c16:uniqueId val="{00000007-D214-4A3C-BF13-1DC49B4E7B6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Indicators!$O$6:$O$10</c:f>
              <c:strCache>
                <c:ptCount val="5"/>
                <c:pt idx="0">
                  <c:v>ACCEPTED</c:v>
                </c:pt>
                <c:pt idx="1">
                  <c:v>REJECTED</c:v>
                </c:pt>
                <c:pt idx="2">
                  <c:v>STUDY</c:v>
                </c:pt>
                <c:pt idx="3">
                  <c:v>PENDING</c:v>
                </c:pt>
                <c:pt idx="4">
                  <c:v>N/A</c:v>
                </c:pt>
              </c:strCache>
            </c:strRef>
          </c:cat>
          <c:val>
            <c:numRef>
              <c:f>Indicators!$P$6:$P$10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8-D214-4A3C-BF13-1DC49B4E7B61}"/>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Indicators!$R$3</c:f>
          <c:strCache>
            <c:ptCount val="1"/>
            <c:pt idx="0">
              <c:v>WP Series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43AF-4B0E-807C-E70BF0175BF5}"/>
              </c:ext>
            </c:extLst>
          </c:dPt>
          <c:dPt>
            <c:idx val="2"/>
            <c:bubble3D val="0"/>
            <c:spPr>
              <a:solidFill>
                <a:schemeClr val="accent6"/>
              </a:solidFill>
            </c:spPr>
            <c:extLst>
              <c:ext xmlns:c16="http://schemas.microsoft.com/office/drawing/2014/chart" uri="{C3380CC4-5D6E-409C-BE32-E72D297353CC}">
                <c16:uniqueId val="{00000003-43AF-4B0E-807C-E70BF0175BF5}"/>
              </c:ext>
            </c:extLst>
          </c:dPt>
          <c:dPt>
            <c:idx val="3"/>
            <c:bubble3D val="0"/>
            <c:spPr>
              <a:solidFill>
                <a:schemeClr val="accent1"/>
              </a:solidFill>
            </c:spPr>
            <c:extLst>
              <c:ext xmlns:c16="http://schemas.microsoft.com/office/drawing/2014/chart" uri="{C3380CC4-5D6E-409C-BE32-E72D297353CC}">
                <c16:uniqueId val="{00000005-43AF-4B0E-807C-E70BF0175BF5}"/>
              </c:ext>
            </c:extLst>
          </c:dPt>
          <c:dPt>
            <c:idx val="4"/>
            <c:bubble3D val="0"/>
            <c:spPr>
              <a:solidFill>
                <a:schemeClr val="bg1">
                  <a:lumMod val="75000"/>
                </a:schemeClr>
              </a:solidFill>
            </c:spPr>
            <c:extLst>
              <c:ext xmlns:c16="http://schemas.microsoft.com/office/drawing/2014/chart" uri="{C3380CC4-5D6E-409C-BE32-E72D297353CC}">
                <c16:uniqueId val="{00000007-43AF-4B0E-807C-E70BF0175BF5}"/>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Indicators!$R$6:$R$10</c:f>
              <c:strCache>
                <c:ptCount val="5"/>
                <c:pt idx="0">
                  <c:v>ACCEPTED</c:v>
                </c:pt>
                <c:pt idx="1">
                  <c:v>REJECTED</c:v>
                </c:pt>
                <c:pt idx="2">
                  <c:v>STUDY</c:v>
                </c:pt>
                <c:pt idx="3">
                  <c:v>PENDING</c:v>
                </c:pt>
                <c:pt idx="4">
                  <c:v>N/A</c:v>
                </c:pt>
              </c:strCache>
            </c:strRef>
          </c:cat>
          <c:val>
            <c:numRef>
              <c:f>Indicators!$S$6:$S$10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8-43AF-4B0E-807C-E70BF0175BF5}"/>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Indicators!$O$23</c:f>
          <c:strCache>
            <c:ptCount val="1"/>
            <c:pt idx="0">
              <c:v>AR Series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A38E-4F0D-B8E0-5824DF39E0DB}"/>
              </c:ext>
            </c:extLst>
          </c:dPt>
          <c:dPt>
            <c:idx val="2"/>
            <c:bubble3D val="0"/>
            <c:spPr>
              <a:solidFill>
                <a:schemeClr val="accent6"/>
              </a:solidFill>
            </c:spPr>
            <c:extLst>
              <c:ext xmlns:c16="http://schemas.microsoft.com/office/drawing/2014/chart" uri="{C3380CC4-5D6E-409C-BE32-E72D297353CC}">
                <c16:uniqueId val="{00000003-A38E-4F0D-B8E0-5824DF39E0DB}"/>
              </c:ext>
            </c:extLst>
          </c:dPt>
          <c:dPt>
            <c:idx val="3"/>
            <c:bubble3D val="0"/>
            <c:spPr>
              <a:solidFill>
                <a:schemeClr val="accent1"/>
              </a:solidFill>
            </c:spPr>
            <c:extLst>
              <c:ext xmlns:c16="http://schemas.microsoft.com/office/drawing/2014/chart" uri="{C3380CC4-5D6E-409C-BE32-E72D297353CC}">
                <c16:uniqueId val="{00000005-A38E-4F0D-B8E0-5824DF39E0DB}"/>
              </c:ext>
            </c:extLst>
          </c:dPt>
          <c:dPt>
            <c:idx val="4"/>
            <c:bubble3D val="0"/>
            <c:spPr>
              <a:solidFill>
                <a:schemeClr val="bg1">
                  <a:lumMod val="75000"/>
                </a:schemeClr>
              </a:solidFill>
            </c:spPr>
            <c:extLst>
              <c:ext xmlns:c16="http://schemas.microsoft.com/office/drawing/2014/chart" uri="{C3380CC4-5D6E-409C-BE32-E72D297353CC}">
                <c16:uniqueId val="{00000007-A38E-4F0D-B8E0-5824DF39E0DB}"/>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Indicators!$O$26:$O$30</c:f>
              <c:strCache>
                <c:ptCount val="5"/>
                <c:pt idx="0">
                  <c:v>ACCEPTED</c:v>
                </c:pt>
                <c:pt idx="1">
                  <c:v>REJECTED</c:v>
                </c:pt>
                <c:pt idx="2">
                  <c:v>STUDY</c:v>
                </c:pt>
                <c:pt idx="3">
                  <c:v>PENDING</c:v>
                </c:pt>
                <c:pt idx="4">
                  <c:v>N/A</c:v>
                </c:pt>
              </c:strCache>
            </c:strRef>
          </c:cat>
          <c:val>
            <c:numRef>
              <c:f>Indicators!$P$26:$P$30</c:f>
              <c:numCache>
                <c:formatCode>General</c:formatCode>
                <c:ptCount val="5"/>
                <c:pt idx="0">
                  <c:v>51</c:v>
                </c:pt>
                <c:pt idx="1">
                  <c:v>23</c:v>
                </c:pt>
                <c:pt idx="2">
                  <c:v>0</c:v>
                </c:pt>
                <c:pt idx="3">
                  <c:v>0</c:v>
                </c:pt>
                <c:pt idx="4">
                  <c:v>1</c:v>
                </c:pt>
              </c:numCache>
            </c:numRef>
          </c:val>
          <c:extLst>
            <c:ext xmlns:c16="http://schemas.microsoft.com/office/drawing/2014/chart" uri="{C3380CC4-5D6E-409C-BE32-E72D297353CC}">
              <c16:uniqueId val="{00000008-A38E-4F0D-B8E0-5824DF39E0DB}"/>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Indicators!$R$23</c:f>
          <c:strCache>
            <c:ptCount val="1"/>
            <c:pt idx="0">
              <c:v>WP Series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C31F-4878-848D-730022B25328}"/>
              </c:ext>
            </c:extLst>
          </c:dPt>
          <c:dPt>
            <c:idx val="2"/>
            <c:bubble3D val="0"/>
            <c:spPr>
              <a:solidFill>
                <a:schemeClr val="accent6"/>
              </a:solidFill>
            </c:spPr>
            <c:extLst>
              <c:ext xmlns:c16="http://schemas.microsoft.com/office/drawing/2014/chart" uri="{C3380CC4-5D6E-409C-BE32-E72D297353CC}">
                <c16:uniqueId val="{00000003-C31F-4878-848D-730022B25328}"/>
              </c:ext>
            </c:extLst>
          </c:dPt>
          <c:dPt>
            <c:idx val="3"/>
            <c:bubble3D val="0"/>
            <c:spPr>
              <a:solidFill>
                <a:schemeClr val="accent1"/>
              </a:solidFill>
            </c:spPr>
            <c:extLst>
              <c:ext xmlns:c16="http://schemas.microsoft.com/office/drawing/2014/chart" uri="{C3380CC4-5D6E-409C-BE32-E72D297353CC}">
                <c16:uniqueId val="{00000005-C31F-4878-848D-730022B25328}"/>
              </c:ext>
            </c:extLst>
          </c:dPt>
          <c:dPt>
            <c:idx val="4"/>
            <c:bubble3D val="0"/>
            <c:spPr>
              <a:solidFill>
                <a:schemeClr val="bg1">
                  <a:lumMod val="75000"/>
                </a:schemeClr>
              </a:solidFill>
            </c:spPr>
            <c:extLst>
              <c:ext xmlns:c16="http://schemas.microsoft.com/office/drawing/2014/chart" uri="{C3380CC4-5D6E-409C-BE32-E72D297353CC}">
                <c16:uniqueId val="{00000007-C31F-4878-848D-730022B25328}"/>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Indicators!$R$26:$R$30</c:f>
              <c:strCache>
                <c:ptCount val="5"/>
                <c:pt idx="0">
                  <c:v>ACCEPTED</c:v>
                </c:pt>
                <c:pt idx="1">
                  <c:v>REJECTED</c:v>
                </c:pt>
                <c:pt idx="2">
                  <c:v>STUDY</c:v>
                </c:pt>
                <c:pt idx="3">
                  <c:v>PENDING</c:v>
                </c:pt>
                <c:pt idx="4">
                  <c:v>N/A</c:v>
                </c:pt>
              </c:strCache>
            </c:strRef>
          </c:cat>
          <c:val>
            <c:numRef>
              <c:f>Indicators!$S$26:$S$30</c:f>
              <c:numCache>
                <c:formatCode>General</c:formatCode>
                <c:ptCount val="5"/>
                <c:pt idx="0">
                  <c:v>49</c:v>
                </c:pt>
                <c:pt idx="1">
                  <c:v>25</c:v>
                </c:pt>
                <c:pt idx="2">
                  <c:v>0</c:v>
                </c:pt>
                <c:pt idx="3">
                  <c:v>0</c:v>
                </c:pt>
                <c:pt idx="4">
                  <c:v>1</c:v>
                </c:pt>
              </c:numCache>
            </c:numRef>
          </c:val>
          <c:extLst>
            <c:ext xmlns:c16="http://schemas.microsoft.com/office/drawing/2014/chart" uri="{C3380CC4-5D6E-409C-BE32-E72D297353CC}">
              <c16:uniqueId val="{00000008-C31F-4878-848D-730022B25328}"/>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Indicators!$U$3</c:f>
          <c:strCache>
            <c:ptCount val="1"/>
            <c:pt idx="0">
              <c:v>HL Series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7929-4870-8E32-3FC10B14346F}"/>
              </c:ext>
            </c:extLst>
          </c:dPt>
          <c:dPt>
            <c:idx val="2"/>
            <c:bubble3D val="0"/>
            <c:spPr>
              <a:solidFill>
                <a:schemeClr val="accent6"/>
              </a:solidFill>
            </c:spPr>
            <c:extLst>
              <c:ext xmlns:c16="http://schemas.microsoft.com/office/drawing/2014/chart" uri="{C3380CC4-5D6E-409C-BE32-E72D297353CC}">
                <c16:uniqueId val="{00000003-7929-4870-8E32-3FC10B14346F}"/>
              </c:ext>
            </c:extLst>
          </c:dPt>
          <c:dPt>
            <c:idx val="3"/>
            <c:bubble3D val="0"/>
            <c:spPr>
              <a:solidFill>
                <a:schemeClr val="accent1"/>
              </a:solidFill>
            </c:spPr>
            <c:extLst>
              <c:ext xmlns:c16="http://schemas.microsoft.com/office/drawing/2014/chart" uri="{C3380CC4-5D6E-409C-BE32-E72D297353CC}">
                <c16:uniqueId val="{00000005-7929-4870-8E32-3FC10B14346F}"/>
              </c:ext>
            </c:extLst>
          </c:dPt>
          <c:dPt>
            <c:idx val="4"/>
            <c:bubble3D val="0"/>
            <c:spPr>
              <a:solidFill>
                <a:schemeClr val="bg1">
                  <a:lumMod val="75000"/>
                </a:schemeClr>
              </a:solidFill>
            </c:spPr>
            <c:extLst>
              <c:ext xmlns:c16="http://schemas.microsoft.com/office/drawing/2014/chart" uri="{C3380CC4-5D6E-409C-BE32-E72D297353CC}">
                <c16:uniqueId val="{00000007-7929-4870-8E32-3FC10B14346F}"/>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Indicators!$V$6:$V$10</c:f>
              <c:numCache>
                <c:formatCode>General</c:formatCode>
                <c:ptCount val="5"/>
                <c:pt idx="0">
                  <c:v>38</c:v>
                </c:pt>
                <c:pt idx="1">
                  <c:v>1</c:v>
                </c:pt>
                <c:pt idx="2">
                  <c:v>0</c:v>
                </c:pt>
                <c:pt idx="3">
                  <c:v>0</c:v>
                </c:pt>
                <c:pt idx="4">
                  <c:v>0</c:v>
                </c:pt>
              </c:numCache>
            </c:numRef>
          </c:val>
          <c:extLst>
            <c:ext xmlns:c16="http://schemas.microsoft.com/office/drawing/2014/chart" uri="{C3380CC4-5D6E-409C-BE32-E72D297353CC}">
              <c16:uniqueId val="{00000008-7929-4870-8E32-3FC10B14346F}"/>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Indicators!$Q$6:$Q$10</c:f>
              <c:numCache>
                <c:formatCode>General</c:formatCode>
                <c:ptCount val="5"/>
              </c:numCache>
            </c:numRef>
          </c:val>
          <c:extLst>
            <c:ext xmlns:c16="http://schemas.microsoft.com/office/drawing/2014/chart" uri="{C3380CC4-5D6E-409C-BE32-E72D297353CC}">
              <c16:uniqueId val="{00000009-7929-4870-8E32-3FC10B14346F}"/>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Indicators!$R$6:$R$10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7929-4870-8E32-3FC10B14346F}"/>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Indicators!$S$6:$S$10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B-7929-4870-8E32-3FC10B14346F}"/>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Indicators!$T$6:$T$10</c:f>
              <c:numCache>
                <c:formatCode>General</c:formatCode>
                <c:ptCount val="5"/>
              </c:numCache>
            </c:numRef>
          </c:val>
          <c:extLst>
            <c:ext xmlns:c16="http://schemas.microsoft.com/office/drawing/2014/chart" uri="{C3380CC4-5D6E-409C-BE32-E72D297353CC}">
              <c16:uniqueId val="{0000000C-7929-4870-8E32-3FC10B14346F}"/>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Indicators!$U$6:$U$10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D-7929-4870-8E32-3FC10B14346F}"/>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Indicators!$V$6:$V$10</c:f>
              <c:numCache>
                <c:formatCode>General</c:formatCode>
                <c:ptCount val="5"/>
                <c:pt idx="0">
                  <c:v>38</c:v>
                </c:pt>
                <c:pt idx="1">
                  <c:v>1</c:v>
                </c:pt>
                <c:pt idx="2">
                  <c:v>0</c:v>
                </c:pt>
                <c:pt idx="3">
                  <c:v>0</c:v>
                </c:pt>
                <c:pt idx="4">
                  <c:v>0</c:v>
                </c:pt>
              </c:numCache>
            </c:numRef>
          </c:val>
          <c:extLst>
            <c:ext xmlns:c16="http://schemas.microsoft.com/office/drawing/2014/chart" uri="{C3380CC4-5D6E-409C-BE32-E72D297353CC}">
              <c16:uniqueId val="{0000000E-7929-4870-8E32-3FC10B14346F}"/>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Indicators!$X$3</c:f>
          <c:strCache>
            <c:ptCount val="1"/>
            <c:pt idx="0">
              <c:v>EM/MC Series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BE6D-41F0-A9C3-FDC2ACA3EE43}"/>
              </c:ext>
            </c:extLst>
          </c:dPt>
          <c:dPt>
            <c:idx val="2"/>
            <c:bubble3D val="0"/>
            <c:spPr>
              <a:solidFill>
                <a:schemeClr val="accent6"/>
              </a:solidFill>
            </c:spPr>
            <c:extLst>
              <c:ext xmlns:c16="http://schemas.microsoft.com/office/drawing/2014/chart" uri="{C3380CC4-5D6E-409C-BE32-E72D297353CC}">
                <c16:uniqueId val="{00000003-BE6D-41F0-A9C3-FDC2ACA3EE43}"/>
              </c:ext>
            </c:extLst>
          </c:dPt>
          <c:dPt>
            <c:idx val="3"/>
            <c:bubble3D val="0"/>
            <c:spPr>
              <a:solidFill>
                <a:schemeClr val="accent1"/>
              </a:solidFill>
            </c:spPr>
            <c:extLst>
              <c:ext xmlns:c16="http://schemas.microsoft.com/office/drawing/2014/chart" uri="{C3380CC4-5D6E-409C-BE32-E72D297353CC}">
                <c16:uniqueId val="{00000005-BE6D-41F0-A9C3-FDC2ACA3EE43}"/>
              </c:ext>
            </c:extLst>
          </c:dPt>
          <c:dPt>
            <c:idx val="4"/>
            <c:bubble3D val="0"/>
            <c:spPr>
              <a:solidFill>
                <a:schemeClr val="bg1">
                  <a:lumMod val="75000"/>
                </a:schemeClr>
              </a:solidFill>
            </c:spPr>
            <c:extLst>
              <c:ext xmlns:c16="http://schemas.microsoft.com/office/drawing/2014/chart" uri="{C3380CC4-5D6E-409C-BE32-E72D297353CC}">
                <c16:uniqueId val="{00000007-BE6D-41F0-A9C3-FDC2ACA3EE43}"/>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Indicators!$X$6:$X$10</c:f>
              <c:strCache>
                <c:ptCount val="5"/>
                <c:pt idx="0">
                  <c:v>ACCEPTED</c:v>
                </c:pt>
                <c:pt idx="1">
                  <c:v>REJECTED</c:v>
                </c:pt>
                <c:pt idx="2">
                  <c:v>STUDY</c:v>
                </c:pt>
                <c:pt idx="3">
                  <c:v>PENDING</c:v>
                </c:pt>
                <c:pt idx="4">
                  <c:v>N/A</c:v>
                </c:pt>
              </c:strCache>
            </c:strRef>
          </c:cat>
          <c:val>
            <c:numRef>
              <c:f>Indicators!$Y$6:$Y$10</c:f>
              <c:numCache>
                <c:formatCode>General</c:formatCode>
                <c:ptCount val="5"/>
                <c:pt idx="0">
                  <c:v>24</c:v>
                </c:pt>
                <c:pt idx="1">
                  <c:v>0</c:v>
                </c:pt>
                <c:pt idx="2">
                  <c:v>0</c:v>
                </c:pt>
                <c:pt idx="3">
                  <c:v>0</c:v>
                </c:pt>
                <c:pt idx="4">
                  <c:v>0</c:v>
                </c:pt>
              </c:numCache>
            </c:numRef>
          </c:val>
          <c:extLst>
            <c:ext xmlns:c16="http://schemas.microsoft.com/office/drawing/2014/chart" uri="{C3380CC4-5D6E-409C-BE32-E72D297353CC}">
              <c16:uniqueId val="{00000008-BE6D-41F0-A9C3-FDC2ACA3EE43}"/>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Indicators!$U$23</c:f>
          <c:strCache>
            <c:ptCount val="1"/>
            <c:pt idx="0">
              <c:v>HL Series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3AF0-4CF5-8BBE-811141B0836A}"/>
              </c:ext>
            </c:extLst>
          </c:dPt>
          <c:dPt>
            <c:idx val="2"/>
            <c:bubble3D val="0"/>
            <c:spPr>
              <a:solidFill>
                <a:schemeClr val="accent6"/>
              </a:solidFill>
            </c:spPr>
            <c:extLst>
              <c:ext xmlns:c16="http://schemas.microsoft.com/office/drawing/2014/chart" uri="{C3380CC4-5D6E-409C-BE32-E72D297353CC}">
                <c16:uniqueId val="{00000003-3AF0-4CF5-8BBE-811141B0836A}"/>
              </c:ext>
            </c:extLst>
          </c:dPt>
          <c:dPt>
            <c:idx val="3"/>
            <c:bubble3D val="0"/>
            <c:spPr>
              <a:solidFill>
                <a:schemeClr val="accent1"/>
              </a:solidFill>
            </c:spPr>
            <c:extLst>
              <c:ext xmlns:c16="http://schemas.microsoft.com/office/drawing/2014/chart" uri="{C3380CC4-5D6E-409C-BE32-E72D297353CC}">
                <c16:uniqueId val="{00000005-3AF0-4CF5-8BBE-811141B0836A}"/>
              </c:ext>
            </c:extLst>
          </c:dPt>
          <c:dPt>
            <c:idx val="4"/>
            <c:bubble3D val="0"/>
            <c:spPr>
              <a:solidFill>
                <a:schemeClr val="bg1">
                  <a:lumMod val="75000"/>
                </a:schemeClr>
              </a:solidFill>
            </c:spPr>
            <c:extLst>
              <c:ext xmlns:c16="http://schemas.microsoft.com/office/drawing/2014/chart" uri="{C3380CC4-5D6E-409C-BE32-E72D297353CC}">
                <c16:uniqueId val="{00000007-3AF0-4CF5-8BBE-811141B0836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Indicators!$U$26:$U$30</c:f>
              <c:strCache>
                <c:ptCount val="5"/>
                <c:pt idx="0">
                  <c:v>ACCEPTED</c:v>
                </c:pt>
                <c:pt idx="1">
                  <c:v>REJECTED</c:v>
                </c:pt>
                <c:pt idx="2">
                  <c:v>STUDY</c:v>
                </c:pt>
                <c:pt idx="3">
                  <c:v>PENDING</c:v>
                </c:pt>
                <c:pt idx="4">
                  <c:v>N/A</c:v>
                </c:pt>
              </c:strCache>
            </c:strRef>
          </c:cat>
          <c:val>
            <c:numRef>
              <c:f>Indicators!$V$26:$V$30</c:f>
              <c:numCache>
                <c:formatCode>General</c:formatCode>
                <c:ptCount val="5"/>
                <c:pt idx="0">
                  <c:v>39</c:v>
                </c:pt>
                <c:pt idx="1">
                  <c:v>23</c:v>
                </c:pt>
                <c:pt idx="2">
                  <c:v>0</c:v>
                </c:pt>
                <c:pt idx="3">
                  <c:v>0</c:v>
                </c:pt>
                <c:pt idx="4">
                  <c:v>13</c:v>
                </c:pt>
              </c:numCache>
            </c:numRef>
          </c:val>
          <c:extLst>
            <c:ext xmlns:c16="http://schemas.microsoft.com/office/drawing/2014/chart" uri="{C3380CC4-5D6E-409C-BE32-E72D297353CC}">
              <c16:uniqueId val="{00000008-3AF0-4CF5-8BBE-811141B0836A}"/>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Indicators!$X$23</c:f>
          <c:strCache>
            <c:ptCount val="1"/>
            <c:pt idx="0">
              <c:v>EM/MC Series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A14B-47B4-974F-C81A7B2EFE42}"/>
              </c:ext>
            </c:extLst>
          </c:dPt>
          <c:dPt>
            <c:idx val="2"/>
            <c:bubble3D val="0"/>
            <c:spPr>
              <a:solidFill>
                <a:schemeClr val="accent6"/>
              </a:solidFill>
            </c:spPr>
            <c:extLst>
              <c:ext xmlns:c16="http://schemas.microsoft.com/office/drawing/2014/chart" uri="{C3380CC4-5D6E-409C-BE32-E72D297353CC}">
                <c16:uniqueId val="{00000003-A14B-47B4-974F-C81A7B2EFE42}"/>
              </c:ext>
            </c:extLst>
          </c:dPt>
          <c:dPt>
            <c:idx val="3"/>
            <c:bubble3D val="0"/>
            <c:spPr>
              <a:solidFill>
                <a:schemeClr val="accent1"/>
              </a:solidFill>
            </c:spPr>
            <c:extLst>
              <c:ext xmlns:c16="http://schemas.microsoft.com/office/drawing/2014/chart" uri="{C3380CC4-5D6E-409C-BE32-E72D297353CC}">
                <c16:uniqueId val="{00000005-A14B-47B4-974F-C81A7B2EFE42}"/>
              </c:ext>
            </c:extLst>
          </c:dPt>
          <c:dPt>
            <c:idx val="4"/>
            <c:bubble3D val="0"/>
            <c:spPr>
              <a:solidFill>
                <a:schemeClr val="bg1">
                  <a:lumMod val="75000"/>
                </a:schemeClr>
              </a:solidFill>
            </c:spPr>
            <c:extLst>
              <c:ext xmlns:c16="http://schemas.microsoft.com/office/drawing/2014/chart" uri="{C3380CC4-5D6E-409C-BE32-E72D297353CC}">
                <c16:uniqueId val="{00000007-A14B-47B4-974F-C81A7B2EFE4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Indicators!$X$26:$X$30</c:f>
              <c:strCache>
                <c:ptCount val="5"/>
                <c:pt idx="0">
                  <c:v>ACCEPTED</c:v>
                </c:pt>
                <c:pt idx="1">
                  <c:v>REJECTED</c:v>
                </c:pt>
                <c:pt idx="2">
                  <c:v>STUDY</c:v>
                </c:pt>
                <c:pt idx="3">
                  <c:v>PENDING</c:v>
                </c:pt>
                <c:pt idx="4">
                  <c:v>N/A</c:v>
                </c:pt>
              </c:strCache>
            </c:strRef>
          </c:cat>
          <c:val>
            <c:numRef>
              <c:f>Indicators!$Y$26:$Y$30</c:f>
              <c:numCache>
                <c:formatCode>General</c:formatCode>
                <c:ptCount val="5"/>
                <c:pt idx="0">
                  <c:v>24</c:v>
                </c:pt>
                <c:pt idx="1">
                  <c:v>13</c:v>
                </c:pt>
                <c:pt idx="2">
                  <c:v>0</c:v>
                </c:pt>
                <c:pt idx="3">
                  <c:v>0</c:v>
                </c:pt>
                <c:pt idx="4">
                  <c:v>38</c:v>
                </c:pt>
              </c:numCache>
            </c:numRef>
          </c:val>
          <c:extLst>
            <c:ext xmlns:c16="http://schemas.microsoft.com/office/drawing/2014/chart" uri="{C3380CC4-5D6E-409C-BE32-E72D297353CC}">
              <c16:uniqueId val="{00000008-A14B-47B4-974F-C81A7B2EFE42}"/>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Indicators!$AA$3</c:f>
          <c:strCache>
            <c:ptCount val="1"/>
            <c:pt idx="0">
              <c:v>HL7800 (Phase 1)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5656-4D28-AD28-7E109A86EF8A}"/>
              </c:ext>
            </c:extLst>
          </c:dPt>
          <c:dPt>
            <c:idx val="2"/>
            <c:bubble3D val="0"/>
            <c:spPr>
              <a:solidFill>
                <a:schemeClr val="accent6"/>
              </a:solidFill>
            </c:spPr>
            <c:extLst>
              <c:ext xmlns:c16="http://schemas.microsoft.com/office/drawing/2014/chart" uri="{C3380CC4-5D6E-409C-BE32-E72D297353CC}">
                <c16:uniqueId val="{00000003-5656-4D28-AD28-7E109A86EF8A}"/>
              </c:ext>
            </c:extLst>
          </c:dPt>
          <c:dPt>
            <c:idx val="3"/>
            <c:bubble3D val="0"/>
            <c:spPr>
              <a:solidFill>
                <a:schemeClr val="accent1"/>
              </a:solidFill>
            </c:spPr>
            <c:extLst>
              <c:ext xmlns:c16="http://schemas.microsoft.com/office/drawing/2014/chart" uri="{C3380CC4-5D6E-409C-BE32-E72D297353CC}">
                <c16:uniqueId val="{00000005-5656-4D28-AD28-7E109A86EF8A}"/>
              </c:ext>
            </c:extLst>
          </c:dPt>
          <c:dPt>
            <c:idx val="4"/>
            <c:bubble3D val="0"/>
            <c:spPr>
              <a:solidFill>
                <a:schemeClr val="bg1">
                  <a:lumMod val="75000"/>
                </a:schemeClr>
              </a:solidFill>
            </c:spPr>
            <c:extLst>
              <c:ext xmlns:c16="http://schemas.microsoft.com/office/drawing/2014/chart" uri="{C3380CC4-5D6E-409C-BE32-E72D297353CC}">
                <c16:uniqueId val="{00000007-5656-4D28-AD28-7E109A86EF8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Indicators!$AA$6:$AA$10</c:f>
              <c:strCache>
                <c:ptCount val="5"/>
                <c:pt idx="0">
                  <c:v>ACCEPTED</c:v>
                </c:pt>
                <c:pt idx="1">
                  <c:v>REJECTED</c:v>
                </c:pt>
                <c:pt idx="2">
                  <c:v>STUDY</c:v>
                </c:pt>
                <c:pt idx="3">
                  <c:v>PENDING</c:v>
                </c:pt>
                <c:pt idx="4">
                  <c:v>N/A</c:v>
                </c:pt>
              </c:strCache>
            </c:strRef>
          </c:cat>
          <c:val>
            <c:numRef>
              <c:f>Indicators!$AB$6:$AB$10</c:f>
              <c:numCache>
                <c:formatCode>General</c:formatCode>
                <c:ptCount val="5"/>
                <c:pt idx="0">
                  <c:v>25</c:v>
                </c:pt>
                <c:pt idx="1">
                  <c:v>1</c:v>
                </c:pt>
                <c:pt idx="2">
                  <c:v>0</c:v>
                </c:pt>
                <c:pt idx="3">
                  <c:v>0</c:v>
                </c:pt>
                <c:pt idx="4">
                  <c:v>0</c:v>
                </c:pt>
              </c:numCache>
            </c:numRef>
          </c:val>
          <c:extLst>
            <c:ext xmlns:c16="http://schemas.microsoft.com/office/drawing/2014/chart" uri="{C3380CC4-5D6E-409C-BE32-E72D297353CC}">
              <c16:uniqueId val="{00000008-5656-4D28-AD28-7E109A86EF8A}"/>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Indicators!$AD$3</c:f>
          <c:strCache>
            <c:ptCount val="1"/>
            <c:pt idx="0">
              <c:v>Product06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768F-4ECC-A451-C4E4FD2C82F1}"/>
              </c:ext>
            </c:extLst>
          </c:dPt>
          <c:dPt>
            <c:idx val="2"/>
            <c:bubble3D val="0"/>
            <c:spPr>
              <a:solidFill>
                <a:schemeClr val="accent6"/>
              </a:solidFill>
            </c:spPr>
            <c:extLst>
              <c:ext xmlns:c16="http://schemas.microsoft.com/office/drawing/2014/chart" uri="{C3380CC4-5D6E-409C-BE32-E72D297353CC}">
                <c16:uniqueId val="{00000003-768F-4ECC-A451-C4E4FD2C82F1}"/>
              </c:ext>
            </c:extLst>
          </c:dPt>
          <c:dPt>
            <c:idx val="3"/>
            <c:bubble3D val="0"/>
            <c:spPr>
              <a:solidFill>
                <a:schemeClr val="accent1"/>
              </a:solidFill>
            </c:spPr>
            <c:extLst>
              <c:ext xmlns:c16="http://schemas.microsoft.com/office/drawing/2014/chart" uri="{C3380CC4-5D6E-409C-BE32-E72D297353CC}">
                <c16:uniqueId val="{00000005-768F-4ECC-A451-C4E4FD2C82F1}"/>
              </c:ext>
            </c:extLst>
          </c:dPt>
          <c:dPt>
            <c:idx val="4"/>
            <c:bubble3D val="0"/>
            <c:spPr>
              <a:solidFill>
                <a:schemeClr val="bg1">
                  <a:lumMod val="75000"/>
                </a:schemeClr>
              </a:solidFill>
            </c:spPr>
            <c:extLst>
              <c:ext xmlns:c16="http://schemas.microsoft.com/office/drawing/2014/chart" uri="{C3380CC4-5D6E-409C-BE32-E72D297353CC}">
                <c16:uniqueId val="{00000007-768F-4ECC-A451-C4E4FD2C82F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Indicators!$AD$6:$AD$10</c:f>
              <c:strCache>
                <c:ptCount val="5"/>
                <c:pt idx="0">
                  <c:v>ACCEPTED</c:v>
                </c:pt>
                <c:pt idx="1">
                  <c:v>REJECTED</c:v>
                </c:pt>
                <c:pt idx="2">
                  <c:v>STUDY</c:v>
                </c:pt>
                <c:pt idx="3">
                  <c:v>PENDING</c:v>
                </c:pt>
                <c:pt idx="4">
                  <c:v>N/A</c:v>
                </c:pt>
              </c:strCache>
            </c:strRef>
          </c:cat>
          <c:val>
            <c:numRef>
              <c:f>Indicators!$AE$6:$AE$10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768F-4ECC-A451-C4E4FD2C82F1}"/>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Indicators!$AA$23</c:f>
          <c:strCache>
            <c:ptCount val="1"/>
            <c:pt idx="0">
              <c:v>HL7800 (P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B2A8-49CB-9F04-82F15DBF7FF1}"/>
              </c:ext>
            </c:extLst>
          </c:dPt>
          <c:dPt>
            <c:idx val="2"/>
            <c:bubble3D val="0"/>
            <c:spPr>
              <a:solidFill>
                <a:schemeClr val="accent6"/>
              </a:solidFill>
            </c:spPr>
            <c:extLst>
              <c:ext xmlns:c16="http://schemas.microsoft.com/office/drawing/2014/chart" uri="{C3380CC4-5D6E-409C-BE32-E72D297353CC}">
                <c16:uniqueId val="{00000003-B2A8-49CB-9F04-82F15DBF7FF1}"/>
              </c:ext>
            </c:extLst>
          </c:dPt>
          <c:dPt>
            <c:idx val="3"/>
            <c:bubble3D val="0"/>
            <c:spPr>
              <a:solidFill>
                <a:schemeClr val="accent1"/>
              </a:solidFill>
            </c:spPr>
            <c:extLst>
              <c:ext xmlns:c16="http://schemas.microsoft.com/office/drawing/2014/chart" uri="{C3380CC4-5D6E-409C-BE32-E72D297353CC}">
                <c16:uniqueId val="{00000005-B2A8-49CB-9F04-82F15DBF7FF1}"/>
              </c:ext>
            </c:extLst>
          </c:dPt>
          <c:dPt>
            <c:idx val="4"/>
            <c:bubble3D val="0"/>
            <c:spPr>
              <a:solidFill>
                <a:schemeClr val="bg1">
                  <a:lumMod val="75000"/>
                </a:schemeClr>
              </a:solidFill>
            </c:spPr>
            <c:extLst>
              <c:ext xmlns:c16="http://schemas.microsoft.com/office/drawing/2014/chart" uri="{C3380CC4-5D6E-409C-BE32-E72D297353CC}">
                <c16:uniqueId val="{00000007-B2A8-49CB-9F04-82F15DBF7FF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Indicators!$AA$26:$AA$30</c:f>
              <c:strCache>
                <c:ptCount val="5"/>
                <c:pt idx="0">
                  <c:v>ACCEPTED</c:v>
                </c:pt>
                <c:pt idx="1">
                  <c:v>REJECTED</c:v>
                </c:pt>
                <c:pt idx="2">
                  <c:v>STUDY</c:v>
                </c:pt>
                <c:pt idx="3">
                  <c:v>PENDING</c:v>
                </c:pt>
                <c:pt idx="4">
                  <c:v>N/A</c:v>
                </c:pt>
              </c:strCache>
            </c:strRef>
          </c:cat>
          <c:val>
            <c:numRef>
              <c:f>Indicators!$AB$26:$AB$30</c:f>
              <c:numCache>
                <c:formatCode>General</c:formatCode>
                <c:ptCount val="5"/>
                <c:pt idx="0">
                  <c:v>25</c:v>
                </c:pt>
                <c:pt idx="1">
                  <c:v>26</c:v>
                </c:pt>
                <c:pt idx="2">
                  <c:v>0</c:v>
                </c:pt>
                <c:pt idx="3">
                  <c:v>0</c:v>
                </c:pt>
                <c:pt idx="4">
                  <c:v>24</c:v>
                </c:pt>
              </c:numCache>
            </c:numRef>
          </c:val>
          <c:extLst>
            <c:ext xmlns:c16="http://schemas.microsoft.com/office/drawing/2014/chart" uri="{C3380CC4-5D6E-409C-BE32-E72D297353CC}">
              <c16:uniqueId val="{00000008-B2A8-49CB-9F04-82F15DBF7FF1}"/>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Indicators!$AD$23</c:f>
          <c:strCache>
            <c:ptCount val="1"/>
            <c:pt idx="0">
              <c:v>Product06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B548-48C6-96E2-7A632B9BB045}"/>
              </c:ext>
            </c:extLst>
          </c:dPt>
          <c:dPt>
            <c:idx val="2"/>
            <c:bubble3D val="0"/>
            <c:spPr>
              <a:solidFill>
                <a:schemeClr val="accent6"/>
              </a:solidFill>
            </c:spPr>
            <c:extLst>
              <c:ext xmlns:c16="http://schemas.microsoft.com/office/drawing/2014/chart" uri="{C3380CC4-5D6E-409C-BE32-E72D297353CC}">
                <c16:uniqueId val="{00000003-B548-48C6-96E2-7A632B9BB045}"/>
              </c:ext>
            </c:extLst>
          </c:dPt>
          <c:dPt>
            <c:idx val="3"/>
            <c:bubble3D val="0"/>
            <c:spPr>
              <a:solidFill>
                <a:schemeClr val="accent1"/>
              </a:solidFill>
            </c:spPr>
            <c:extLst>
              <c:ext xmlns:c16="http://schemas.microsoft.com/office/drawing/2014/chart" uri="{C3380CC4-5D6E-409C-BE32-E72D297353CC}">
                <c16:uniqueId val="{00000005-B548-48C6-96E2-7A632B9BB045}"/>
              </c:ext>
            </c:extLst>
          </c:dPt>
          <c:dPt>
            <c:idx val="4"/>
            <c:bubble3D val="0"/>
            <c:spPr>
              <a:solidFill>
                <a:schemeClr val="bg1">
                  <a:lumMod val="75000"/>
                </a:schemeClr>
              </a:solidFill>
            </c:spPr>
            <c:extLst>
              <c:ext xmlns:c16="http://schemas.microsoft.com/office/drawing/2014/chart" uri="{C3380CC4-5D6E-409C-BE32-E72D297353CC}">
                <c16:uniqueId val="{00000007-B548-48C6-96E2-7A632B9BB045}"/>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Indicators!$AD$26:$AD$30</c:f>
              <c:strCache>
                <c:ptCount val="5"/>
                <c:pt idx="0">
                  <c:v>ACCEPTED</c:v>
                </c:pt>
                <c:pt idx="1">
                  <c:v>REJECTED</c:v>
                </c:pt>
                <c:pt idx="2">
                  <c:v>STUDY</c:v>
                </c:pt>
                <c:pt idx="3">
                  <c:v>PENDING</c:v>
                </c:pt>
                <c:pt idx="4">
                  <c:v>N/A</c:v>
                </c:pt>
              </c:strCache>
            </c:strRef>
          </c:cat>
          <c:val>
            <c:numRef>
              <c:f>Indicators!$AE$26:$AE$30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B548-48C6-96E2-7A632B9BB045}"/>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Indicators!$AG$3</c:f>
          <c:strCache>
            <c:ptCount val="1"/>
            <c:pt idx="0">
              <c:v>Product07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6519-41F1-8416-A9B6BF194E42}"/>
              </c:ext>
            </c:extLst>
          </c:dPt>
          <c:dPt>
            <c:idx val="2"/>
            <c:bubble3D val="0"/>
            <c:spPr>
              <a:solidFill>
                <a:schemeClr val="accent6"/>
              </a:solidFill>
            </c:spPr>
            <c:extLst>
              <c:ext xmlns:c16="http://schemas.microsoft.com/office/drawing/2014/chart" uri="{C3380CC4-5D6E-409C-BE32-E72D297353CC}">
                <c16:uniqueId val="{00000003-6519-41F1-8416-A9B6BF194E42}"/>
              </c:ext>
            </c:extLst>
          </c:dPt>
          <c:dPt>
            <c:idx val="3"/>
            <c:bubble3D val="0"/>
            <c:spPr>
              <a:solidFill>
                <a:schemeClr val="accent1"/>
              </a:solidFill>
            </c:spPr>
            <c:extLst>
              <c:ext xmlns:c16="http://schemas.microsoft.com/office/drawing/2014/chart" uri="{C3380CC4-5D6E-409C-BE32-E72D297353CC}">
                <c16:uniqueId val="{00000005-6519-41F1-8416-A9B6BF194E42}"/>
              </c:ext>
            </c:extLst>
          </c:dPt>
          <c:dPt>
            <c:idx val="4"/>
            <c:bubble3D val="0"/>
            <c:spPr>
              <a:solidFill>
                <a:schemeClr val="bg1">
                  <a:lumMod val="75000"/>
                </a:schemeClr>
              </a:solidFill>
            </c:spPr>
            <c:extLst>
              <c:ext xmlns:c16="http://schemas.microsoft.com/office/drawing/2014/chart" uri="{C3380CC4-5D6E-409C-BE32-E72D297353CC}">
                <c16:uniqueId val="{00000007-6519-41F1-8416-A9B6BF194E4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Indicators!$AH$6:$AH$10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6519-41F1-8416-A9B6BF194E42}"/>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Indicators!$Q$6:$Q$10</c:f>
              <c:numCache>
                <c:formatCode>General</c:formatCode>
                <c:ptCount val="5"/>
              </c:numCache>
            </c:numRef>
          </c:val>
          <c:extLst>
            <c:ext xmlns:c16="http://schemas.microsoft.com/office/drawing/2014/chart" uri="{C3380CC4-5D6E-409C-BE32-E72D297353CC}">
              <c16:uniqueId val="{00000009-6519-41F1-8416-A9B6BF194E42}"/>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Indicators!$R$6:$R$10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6519-41F1-8416-A9B6BF194E42}"/>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Indicators!$S$6:$S$10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B-6519-41F1-8416-A9B6BF194E42}"/>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Indicators!$T$6:$T$10</c:f>
              <c:numCache>
                <c:formatCode>General</c:formatCode>
                <c:ptCount val="5"/>
              </c:numCache>
            </c:numRef>
          </c:val>
          <c:extLst>
            <c:ext xmlns:c16="http://schemas.microsoft.com/office/drawing/2014/chart" uri="{C3380CC4-5D6E-409C-BE32-E72D297353CC}">
              <c16:uniqueId val="{0000000C-6519-41F1-8416-A9B6BF194E42}"/>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Indicators!$U$6:$U$10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D-6519-41F1-8416-A9B6BF194E42}"/>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Indicators!$V$6:$V$10</c:f>
              <c:numCache>
                <c:formatCode>General</c:formatCode>
                <c:ptCount val="5"/>
                <c:pt idx="0">
                  <c:v>38</c:v>
                </c:pt>
                <c:pt idx="1">
                  <c:v>1</c:v>
                </c:pt>
                <c:pt idx="2">
                  <c:v>0</c:v>
                </c:pt>
                <c:pt idx="3">
                  <c:v>0</c:v>
                </c:pt>
                <c:pt idx="4">
                  <c:v>0</c:v>
                </c:pt>
              </c:numCache>
            </c:numRef>
          </c:val>
          <c:extLst>
            <c:ext xmlns:c16="http://schemas.microsoft.com/office/drawing/2014/chart" uri="{C3380CC4-5D6E-409C-BE32-E72D297353CC}">
              <c16:uniqueId val="{0000000E-6519-41F1-8416-A9B6BF194E42}"/>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Indicators!$AJ$3</c:f>
          <c:strCache>
            <c:ptCount val="1"/>
            <c:pt idx="0">
              <c:v>Product08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6247-41B0-AF71-29F9D262E16A}"/>
              </c:ext>
            </c:extLst>
          </c:dPt>
          <c:dPt>
            <c:idx val="2"/>
            <c:bubble3D val="0"/>
            <c:spPr>
              <a:solidFill>
                <a:schemeClr val="accent6"/>
              </a:solidFill>
            </c:spPr>
            <c:extLst>
              <c:ext xmlns:c16="http://schemas.microsoft.com/office/drawing/2014/chart" uri="{C3380CC4-5D6E-409C-BE32-E72D297353CC}">
                <c16:uniqueId val="{00000003-6247-41B0-AF71-29F9D262E16A}"/>
              </c:ext>
            </c:extLst>
          </c:dPt>
          <c:dPt>
            <c:idx val="3"/>
            <c:bubble3D val="0"/>
            <c:spPr>
              <a:solidFill>
                <a:schemeClr val="accent1"/>
              </a:solidFill>
            </c:spPr>
            <c:extLst>
              <c:ext xmlns:c16="http://schemas.microsoft.com/office/drawing/2014/chart" uri="{C3380CC4-5D6E-409C-BE32-E72D297353CC}">
                <c16:uniqueId val="{00000005-6247-41B0-AF71-29F9D262E16A}"/>
              </c:ext>
            </c:extLst>
          </c:dPt>
          <c:dPt>
            <c:idx val="4"/>
            <c:bubble3D val="0"/>
            <c:spPr>
              <a:solidFill>
                <a:schemeClr val="bg1">
                  <a:lumMod val="75000"/>
                </a:schemeClr>
              </a:solidFill>
            </c:spPr>
            <c:extLst>
              <c:ext xmlns:c16="http://schemas.microsoft.com/office/drawing/2014/chart" uri="{C3380CC4-5D6E-409C-BE32-E72D297353CC}">
                <c16:uniqueId val="{00000007-6247-41B0-AF71-29F9D262E16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Indicators!$AJ$6:$AJ$10</c:f>
              <c:strCache>
                <c:ptCount val="5"/>
                <c:pt idx="0">
                  <c:v>ACCEPTED</c:v>
                </c:pt>
                <c:pt idx="1">
                  <c:v>REJECTED</c:v>
                </c:pt>
                <c:pt idx="2">
                  <c:v>STUDY</c:v>
                </c:pt>
                <c:pt idx="3">
                  <c:v>PENDING</c:v>
                </c:pt>
                <c:pt idx="4">
                  <c:v>N/A</c:v>
                </c:pt>
              </c:strCache>
            </c:strRef>
          </c:cat>
          <c:val>
            <c:numRef>
              <c:f>Indicators!$AK$6:$AK$10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6247-41B0-AF71-29F9D262E16A}"/>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Indicators!$AG$23</c:f>
          <c:strCache>
            <c:ptCount val="1"/>
            <c:pt idx="0">
              <c:v>Product07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AD6E-4EEA-A73D-DDB08B1480D7}"/>
              </c:ext>
            </c:extLst>
          </c:dPt>
          <c:dPt>
            <c:idx val="2"/>
            <c:bubble3D val="0"/>
            <c:spPr>
              <a:solidFill>
                <a:schemeClr val="accent6"/>
              </a:solidFill>
            </c:spPr>
            <c:extLst>
              <c:ext xmlns:c16="http://schemas.microsoft.com/office/drawing/2014/chart" uri="{C3380CC4-5D6E-409C-BE32-E72D297353CC}">
                <c16:uniqueId val="{00000003-AD6E-4EEA-A73D-DDB08B1480D7}"/>
              </c:ext>
            </c:extLst>
          </c:dPt>
          <c:dPt>
            <c:idx val="3"/>
            <c:bubble3D val="0"/>
            <c:spPr>
              <a:solidFill>
                <a:schemeClr val="accent1"/>
              </a:solidFill>
            </c:spPr>
            <c:extLst>
              <c:ext xmlns:c16="http://schemas.microsoft.com/office/drawing/2014/chart" uri="{C3380CC4-5D6E-409C-BE32-E72D297353CC}">
                <c16:uniqueId val="{00000005-AD6E-4EEA-A73D-DDB08B1480D7}"/>
              </c:ext>
            </c:extLst>
          </c:dPt>
          <c:dPt>
            <c:idx val="4"/>
            <c:bubble3D val="0"/>
            <c:spPr>
              <a:solidFill>
                <a:schemeClr val="bg1">
                  <a:lumMod val="75000"/>
                </a:schemeClr>
              </a:solidFill>
            </c:spPr>
            <c:extLst>
              <c:ext xmlns:c16="http://schemas.microsoft.com/office/drawing/2014/chart" uri="{C3380CC4-5D6E-409C-BE32-E72D297353CC}">
                <c16:uniqueId val="{00000007-AD6E-4EEA-A73D-DDB08B1480D7}"/>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Indicators!$AG$26:$AG$30</c:f>
              <c:strCache>
                <c:ptCount val="5"/>
                <c:pt idx="0">
                  <c:v>ACCEPTED</c:v>
                </c:pt>
                <c:pt idx="1">
                  <c:v>REJECTED</c:v>
                </c:pt>
                <c:pt idx="2">
                  <c:v>STUDY</c:v>
                </c:pt>
                <c:pt idx="3">
                  <c:v>PENDING</c:v>
                </c:pt>
                <c:pt idx="4">
                  <c:v>N/A</c:v>
                </c:pt>
              </c:strCache>
            </c:strRef>
          </c:cat>
          <c:val>
            <c:numRef>
              <c:f>Indicators!$AH$26:$AH$30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AD6E-4EEA-A73D-DDB08B1480D7}"/>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Indicators!$AJ$23</c:f>
          <c:strCache>
            <c:ptCount val="1"/>
            <c:pt idx="0">
              <c:v>Product08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91AB-4FD6-82B0-7C4E96A1ACF9}"/>
              </c:ext>
            </c:extLst>
          </c:dPt>
          <c:dPt>
            <c:idx val="2"/>
            <c:bubble3D val="0"/>
            <c:spPr>
              <a:solidFill>
                <a:schemeClr val="accent6"/>
              </a:solidFill>
            </c:spPr>
            <c:extLst>
              <c:ext xmlns:c16="http://schemas.microsoft.com/office/drawing/2014/chart" uri="{C3380CC4-5D6E-409C-BE32-E72D297353CC}">
                <c16:uniqueId val="{00000003-91AB-4FD6-82B0-7C4E96A1ACF9}"/>
              </c:ext>
            </c:extLst>
          </c:dPt>
          <c:dPt>
            <c:idx val="3"/>
            <c:bubble3D val="0"/>
            <c:spPr>
              <a:solidFill>
                <a:schemeClr val="accent1"/>
              </a:solidFill>
            </c:spPr>
            <c:extLst>
              <c:ext xmlns:c16="http://schemas.microsoft.com/office/drawing/2014/chart" uri="{C3380CC4-5D6E-409C-BE32-E72D297353CC}">
                <c16:uniqueId val="{00000005-91AB-4FD6-82B0-7C4E96A1ACF9}"/>
              </c:ext>
            </c:extLst>
          </c:dPt>
          <c:dPt>
            <c:idx val="4"/>
            <c:bubble3D val="0"/>
            <c:spPr>
              <a:solidFill>
                <a:schemeClr val="bg1">
                  <a:lumMod val="75000"/>
                </a:schemeClr>
              </a:solidFill>
            </c:spPr>
            <c:extLst>
              <c:ext xmlns:c16="http://schemas.microsoft.com/office/drawing/2014/chart" uri="{C3380CC4-5D6E-409C-BE32-E72D297353CC}">
                <c16:uniqueId val="{00000007-91AB-4FD6-82B0-7C4E96A1ACF9}"/>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Indicators!$AJ$26:$AJ$30</c:f>
              <c:strCache>
                <c:ptCount val="5"/>
                <c:pt idx="0">
                  <c:v>ACCEPTED</c:v>
                </c:pt>
                <c:pt idx="1">
                  <c:v>REJECTED</c:v>
                </c:pt>
                <c:pt idx="2">
                  <c:v>STUDY</c:v>
                </c:pt>
                <c:pt idx="3">
                  <c:v>PENDING</c:v>
                </c:pt>
                <c:pt idx="4">
                  <c:v>N/A</c:v>
                </c:pt>
              </c:strCache>
            </c:strRef>
          </c:cat>
          <c:val>
            <c:numRef>
              <c:f>Indicators!$AK$26:$AK$30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91AB-4FD6-82B0-7C4E96A1ACF9}"/>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Indicators!$AM$3</c:f>
          <c:strCache>
            <c:ptCount val="1"/>
            <c:pt idx="0">
              <c:v>Product09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56B3-40E7-A652-448D555FF0C7}"/>
              </c:ext>
            </c:extLst>
          </c:dPt>
          <c:dPt>
            <c:idx val="2"/>
            <c:bubble3D val="0"/>
            <c:spPr>
              <a:solidFill>
                <a:schemeClr val="accent6"/>
              </a:solidFill>
            </c:spPr>
            <c:extLst>
              <c:ext xmlns:c16="http://schemas.microsoft.com/office/drawing/2014/chart" uri="{C3380CC4-5D6E-409C-BE32-E72D297353CC}">
                <c16:uniqueId val="{00000003-56B3-40E7-A652-448D555FF0C7}"/>
              </c:ext>
            </c:extLst>
          </c:dPt>
          <c:dPt>
            <c:idx val="3"/>
            <c:bubble3D val="0"/>
            <c:spPr>
              <a:solidFill>
                <a:schemeClr val="accent1"/>
              </a:solidFill>
            </c:spPr>
            <c:extLst>
              <c:ext xmlns:c16="http://schemas.microsoft.com/office/drawing/2014/chart" uri="{C3380CC4-5D6E-409C-BE32-E72D297353CC}">
                <c16:uniqueId val="{00000005-56B3-40E7-A652-448D555FF0C7}"/>
              </c:ext>
            </c:extLst>
          </c:dPt>
          <c:dPt>
            <c:idx val="4"/>
            <c:bubble3D val="0"/>
            <c:spPr>
              <a:solidFill>
                <a:schemeClr val="bg1">
                  <a:lumMod val="75000"/>
                </a:schemeClr>
              </a:solidFill>
            </c:spPr>
            <c:extLst>
              <c:ext xmlns:c16="http://schemas.microsoft.com/office/drawing/2014/chart" uri="{C3380CC4-5D6E-409C-BE32-E72D297353CC}">
                <c16:uniqueId val="{00000007-56B3-40E7-A652-448D555FF0C7}"/>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Indicators!$AN$6:$AN$10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56B3-40E7-A652-448D555FF0C7}"/>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Indicators!$Q$6:$Q$10</c:f>
              <c:numCache>
                <c:formatCode>General</c:formatCode>
                <c:ptCount val="5"/>
              </c:numCache>
            </c:numRef>
          </c:val>
          <c:extLst>
            <c:ext xmlns:c16="http://schemas.microsoft.com/office/drawing/2014/chart" uri="{C3380CC4-5D6E-409C-BE32-E72D297353CC}">
              <c16:uniqueId val="{00000009-56B3-40E7-A652-448D555FF0C7}"/>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Indicators!$R$6:$R$10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56B3-40E7-A652-448D555FF0C7}"/>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Indicators!$S$6:$S$10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B-56B3-40E7-A652-448D555FF0C7}"/>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Indicators!$T$6:$T$10</c:f>
              <c:numCache>
                <c:formatCode>General</c:formatCode>
                <c:ptCount val="5"/>
              </c:numCache>
            </c:numRef>
          </c:val>
          <c:extLst>
            <c:ext xmlns:c16="http://schemas.microsoft.com/office/drawing/2014/chart" uri="{C3380CC4-5D6E-409C-BE32-E72D297353CC}">
              <c16:uniqueId val="{0000000C-56B3-40E7-A652-448D555FF0C7}"/>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Indicators!$U$6:$U$10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D-56B3-40E7-A652-448D555FF0C7}"/>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Indicators!$V$6:$V$10</c:f>
              <c:numCache>
                <c:formatCode>General</c:formatCode>
                <c:ptCount val="5"/>
                <c:pt idx="0">
                  <c:v>38</c:v>
                </c:pt>
                <c:pt idx="1">
                  <c:v>1</c:v>
                </c:pt>
                <c:pt idx="2">
                  <c:v>0</c:v>
                </c:pt>
                <c:pt idx="3">
                  <c:v>0</c:v>
                </c:pt>
                <c:pt idx="4">
                  <c:v>0</c:v>
                </c:pt>
              </c:numCache>
            </c:numRef>
          </c:val>
          <c:extLst>
            <c:ext xmlns:c16="http://schemas.microsoft.com/office/drawing/2014/chart" uri="{C3380CC4-5D6E-409C-BE32-E72D297353CC}">
              <c16:uniqueId val="{0000000E-56B3-40E7-A652-448D555FF0C7}"/>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Indicators!$AP$3</c:f>
          <c:strCache>
            <c:ptCount val="1"/>
            <c:pt idx="0">
              <c:v>Product10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E589-4FE2-832D-CBED361C7842}"/>
              </c:ext>
            </c:extLst>
          </c:dPt>
          <c:dPt>
            <c:idx val="2"/>
            <c:bubble3D val="0"/>
            <c:spPr>
              <a:solidFill>
                <a:schemeClr val="accent6"/>
              </a:solidFill>
            </c:spPr>
            <c:extLst>
              <c:ext xmlns:c16="http://schemas.microsoft.com/office/drawing/2014/chart" uri="{C3380CC4-5D6E-409C-BE32-E72D297353CC}">
                <c16:uniqueId val="{00000003-E589-4FE2-832D-CBED361C7842}"/>
              </c:ext>
            </c:extLst>
          </c:dPt>
          <c:dPt>
            <c:idx val="3"/>
            <c:bubble3D val="0"/>
            <c:spPr>
              <a:solidFill>
                <a:schemeClr val="accent1"/>
              </a:solidFill>
            </c:spPr>
            <c:extLst>
              <c:ext xmlns:c16="http://schemas.microsoft.com/office/drawing/2014/chart" uri="{C3380CC4-5D6E-409C-BE32-E72D297353CC}">
                <c16:uniqueId val="{00000005-E589-4FE2-832D-CBED361C7842}"/>
              </c:ext>
            </c:extLst>
          </c:dPt>
          <c:dPt>
            <c:idx val="4"/>
            <c:bubble3D val="0"/>
            <c:spPr>
              <a:solidFill>
                <a:schemeClr val="bg1">
                  <a:lumMod val="75000"/>
                </a:schemeClr>
              </a:solidFill>
            </c:spPr>
            <c:extLst>
              <c:ext xmlns:c16="http://schemas.microsoft.com/office/drawing/2014/chart" uri="{C3380CC4-5D6E-409C-BE32-E72D297353CC}">
                <c16:uniqueId val="{00000007-E589-4FE2-832D-CBED361C784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Indicators!$AP$6:$AP$10</c:f>
              <c:strCache>
                <c:ptCount val="5"/>
                <c:pt idx="0">
                  <c:v>ACCEPTED</c:v>
                </c:pt>
                <c:pt idx="1">
                  <c:v>REJECTED</c:v>
                </c:pt>
                <c:pt idx="2">
                  <c:v>STUDY</c:v>
                </c:pt>
                <c:pt idx="3">
                  <c:v>PENDING</c:v>
                </c:pt>
                <c:pt idx="4">
                  <c:v>N/A</c:v>
                </c:pt>
              </c:strCache>
            </c:strRef>
          </c:cat>
          <c:val>
            <c:numRef>
              <c:f>Indicators!$AQ$6:$AQ$10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E589-4FE2-832D-CBED361C7842}"/>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Indicators!$AM$23</c:f>
          <c:strCache>
            <c:ptCount val="1"/>
            <c:pt idx="0">
              <c:v>Product09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0677-4894-B217-93207DFE572F}"/>
              </c:ext>
            </c:extLst>
          </c:dPt>
          <c:dPt>
            <c:idx val="2"/>
            <c:bubble3D val="0"/>
            <c:spPr>
              <a:solidFill>
                <a:schemeClr val="accent6"/>
              </a:solidFill>
            </c:spPr>
            <c:extLst>
              <c:ext xmlns:c16="http://schemas.microsoft.com/office/drawing/2014/chart" uri="{C3380CC4-5D6E-409C-BE32-E72D297353CC}">
                <c16:uniqueId val="{00000003-0677-4894-B217-93207DFE572F}"/>
              </c:ext>
            </c:extLst>
          </c:dPt>
          <c:dPt>
            <c:idx val="3"/>
            <c:bubble3D val="0"/>
            <c:spPr>
              <a:solidFill>
                <a:schemeClr val="accent1"/>
              </a:solidFill>
            </c:spPr>
            <c:extLst>
              <c:ext xmlns:c16="http://schemas.microsoft.com/office/drawing/2014/chart" uri="{C3380CC4-5D6E-409C-BE32-E72D297353CC}">
                <c16:uniqueId val="{00000005-0677-4894-B217-93207DFE572F}"/>
              </c:ext>
            </c:extLst>
          </c:dPt>
          <c:dPt>
            <c:idx val="4"/>
            <c:bubble3D val="0"/>
            <c:spPr>
              <a:solidFill>
                <a:schemeClr val="bg1">
                  <a:lumMod val="75000"/>
                </a:schemeClr>
              </a:solidFill>
            </c:spPr>
            <c:extLst>
              <c:ext xmlns:c16="http://schemas.microsoft.com/office/drawing/2014/chart" uri="{C3380CC4-5D6E-409C-BE32-E72D297353CC}">
                <c16:uniqueId val="{00000007-0677-4894-B217-93207DFE572F}"/>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Indicators!$AM$26:$AM$30</c:f>
              <c:strCache>
                <c:ptCount val="5"/>
                <c:pt idx="0">
                  <c:v>ACCEPTED</c:v>
                </c:pt>
                <c:pt idx="1">
                  <c:v>REJECTED</c:v>
                </c:pt>
                <c:pt idx="2">
                  <c:v>STUDY</c:v>
                </c:pt>
                <c:pt idx="3">
                  <c:v>PENDING</c:v>
                </c:pt>
                <c:pt idx="4">
                  <c:v>N/A</c:v>
                </c:pt>
              </c:strCache>
            </c:strRef>
          </c:cat>
          <c:val>
            <c:numRef>
              <c:f>Indicators!$AN$26:$AN$30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0677-4894-B217-93207DFE572F}"/>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Indicators!$AP$23</c:f>
          <c:strCache>
            <c:ptCount val="1"/>
            <c:pt idx="0">
              <c:v>Product10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FD1F-45F3-BC9A-1B58AFEBAFF2}"/>
              </c:ext>
            </c:extLst>
          </c:dPt>
          <c:dPt>
            <c:idx val="2"/>
            <c:bubble3D val="0"/>
            <c:spPr>
              <a:solidFill>
                <a:schemeClr val="accent6"/>
              </a:solidFill>
            </c:spPr>
            <c:extLst>
              <c:ext xmlns:c16="http://schemas.microsoft.com/office/drawing/2014/chart" uri="{C3380CC4-5D6E-409C-BE32-E72D297353CC}">
                <c16:uniqueId val="{00000003-FD1F-45F3-BC9A-1B58AFEBAFF2}"/>
              </c:ext>
            </c:extLst>
          </c:dPt>
          <c:dPt>
            <c:idx val="3"/>
            <c:bubble3D val="0"/>
            <c:spPr>
              <a:solidFill>
                <a:schemeClr val="accent1"/>
              </a:solidFill>
            </c:spPr>
            <c:extLst>
              <c:ext xmlns:c16="http://schemas.microsoft.com/office/drawing/2014/chart" uri="{C3380CC4-5D6E-409C-BE32-E72D297353CC}">
                <c16:uniqueId val="{00000005-FD1F-45F3-BC9A-1B58AFEBAFF2}"/>
              </c:ext>
            </c:extLst>
          </c:dPt>
          <c:dPt>
            <c:idx val="4"/>
            <c:bubble3D val="0"/>
            <c:spPr>
              <a:solidFill>
                <a:schemeClr val="bg1">
                  <a:lumMod val="75000"/>
                </a:schemeClr>
              </a:solidFill>
            </c:spPr>
            <c:extLst>
              <c:ext xmlns:c16="http://schemas.microsoft.com/office/drawing/2014/chart" uri="{C3380CC4-5D6E-409C-BE32-E72D297353CC}">
                <c16:uniqueId val="{00000007-FD1F-45F3-BC9A-1B58AFEBAFF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Indicators!$AP$26:$AP$30</c:f>
              <c:strCache>
                <c:ptCount val="5"/>
                <c:pt idx="0">
                  <c:v>ACCEPTED</c:v>
                </c:pt>
                <c:pt idx="1">
                  <c:v>REJECTED</c:v>
                </c:pt>
                <c:pt idx="2">
                  <c:v>STUDY</c:v>
                </c:pt>
                <c:pt idx="3">
                  <c:v>PENDING</c:v>
                </c:pt>
                <c:pt idx="4">
                  <c:v>N/A</c:v>
                </c:pt>
              </c:strCache>
            </c:strRef>
          </c:cat>
          <c:val>
            <c:numRef>
              <c:f>Indicators!$AQ$26:$AQ$30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FD1F-45F3-BC9A-1B58AFEBAFF2}"/>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5</xdr:col>
      <xdr:colOff>47625</xdr:colOff>
      <xdr:row>8</xdr:row>
      <xdr:rowOff>80962</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083719" y="123825"/>
          <a:ext cx="5810250" cy="1647825"/>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mn-lt"/>
              <a:ea typeface="Times New Roman"/>
              <a:cs typeface="Times New Roman"/>
            </a:rPr>
            <a:t>Default Marketing Requirement Document</a:t>
          </a:r>
          <a:endParaRPr lang="en-US" sz="2000" b="0" i="0" strike="noStrike">
            <a:solidFill>
              <a:srgbClr val="000000"/>
            </a:solidFill>
            <a:latin typeface="+mn-lt"/>
            <a:ea typeface="Times New Roman"/>
            <a:cs typeface="Times New Roman"/>
          </a:endParaRP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For</a:t>
          </a: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AirVantage connection with all</a:t>
          </a:r>
          <a:r>
            <a:rPr lang="en-US" sz="2000" b="1" i="0" strike="noStrike" baseline="0">
              <a:solidFill>
                <a:srgbClr val="000000"/>
              </a:solidFill>
              <a:latin typeface="+mn-lt"/>
              <a:ea typeface="Times New Roman"/>
              <a:cs typeface="Times New Roman"/>
            </a:rPr>
            <a:t> Wireless Modules</a:t>
          </a:r>
          <a:endParaRPr lang="en-US" sz="1200" b="0" i="0" strike="noStrike">
            <a:solidFill>
              <a:srgbClr val="000000"/>
            </a:solidFill>
            <a:latin typeface="+mn-lt"/>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1385887</xdr:colOff>
      <xdr:row>6</xdr:row>
      <xdr:rowOff>114300</xdr:rowOff>
    </xdr:to>
    <xdr:pic>
      <xdr:nvPicPr>
        <xdr:cNvPr id="3" name="Picture 1" descr="SierraLogoTM_CMYK_horiz_highres">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123825</xdr:colOff>
      <xdr:row>2</xdr:row>
      <xdr:rowOff>9525</xdr:rowOff>
    </xdr:from>
    <xdr:to>
      <xdr:col>9</xdr:col>
      <xdr:colOff>1562100</xdr:colOff>
      <xdr:row>16</xdr:row>
      <xdr:rowOff>85725</xdr:rowOff>
    </xdr:to>
    <xdr:graphicFrame macro="">
      <xdr:nvGraphicFramePr>
        <xdr:cNvPr id="6" name="Graphique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540684</xdr:colOff>
      <xdr:row>2</xdr:row>
      <xdr:rowOff>1</xdr:rowOff>
    </xdr:from>
    <xdr:to>
      <xdr:col>6</xdr:col>
      <xdr:colOff>540684</xdr:colOff>
      <xdr:row>16</xdr:row>
      <xdr:rowOff>76201</xdr:rowOff>
    </xdr:to>
    <xdr:graphicFrame macro="">
      <xdr:nvGraphicFramePr>
        <xdr:cNvPr id="3" name="Graphique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133350</xdr:colOff>
      <xdr:row>17</xdr:row>
      <xdr:rowOff>28575</xdr:rowOff>
    </xdr:from>
    <xdr:to>
      <xdr:col>9</xdr:col>
      <xdr:colOff>1571625</xdr:colOff>
      <xdr:row>31</xdr:row>
      <xdr:rowOff>104775</xdr:rowOff>
    </xdr:to>
    <xdr:graphicFrame macro="">
      <xdr:nvGraphicFramePr>
        <xdr:cNvPr id="4" name="Graphique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133350</xdr:colOff>
      <xdr:row>32</xdr:row>
      <xdr:rowOff>81242</xdr:rowOff>
    </xdr:from>
    <xdr:to>
      <xdr:col>9</xdr:col>
      <xdr:colOff>1571625</xdr:colOff>
      <xdr:row>46</xdr:row>
      <xdr:rowOff>157442</xdr:rowOff>
    </xdr:to>
    <xdr:graphicFrame macro="">
      <xdr:nvGraphicFramePr>
        <xdr:cNvPr id="5" name="Graphique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529478</xdr:colOff>
      <xdr:row>17</xdr:row>
      <xdr:rowOff>43143</xdr:rowOff>
    </xdr:from>
    <xdr:to>
      <xdr:col>6</xdr:col>
      <xdr:colOff>529478</xdr:colOff>
      <xdr:row>31</xdr:row>
      <xdr:rowOff>119343</xdr:rowOff>
    </xdr:to>
    <xdr:graphicFrame macro="">
      <xdr:nvGraphicFramePr>
        <xdr:cNvPr id="7" name="Graphique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539003</xdr:colOff>
      <xdr:row>32</xdr:row>
      <xdr:rowOff>43143</xdr:rowOff>
    </xdr:from>
    <xdr:to>
      <xdr:col>6</xdr:col>
      <xdr:colOff>539003</xdr:colOff>
      <xdr:row>46</xdr:row>
      <xdr:rowOff>119343</xdr:rowOff>
    </xdr:to>
    <xdr:graphicFrame macro="">
      <xdr:nvGraphicFramePr>
        <xdr:cNvPr id="8" name="Graphique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130548</xdr:colOff>
      <xdr:row>47</xdr:row>
      <xdr:rowOff>67235</xdr:rowOff>
    </xdr:from>
    <xdr:to>
      <xdr:col>9</xdr:col>
      <xdr:colOff>1568823</xdr:colOff>
      <xdr:row>61</xdr:row>
      <xdr:rowOff>143435</xdr:rowOff>
    </xdr:to>
    <xdr:graphicFrame macro="">
      <xdr:nvGraphicFramePr>
        <xdr:cNvPr id="9" name="Graphique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130548</xdr:colOff>
      <xdr:row>62</xdr:row>
      <xdr:rowOff>119902</xdr:rowOff>
    </xdr:from>
    <xdr:to>
      <xdr:col>9</xdr:col>
      <xdr:colOff>1568823</xdr:colOff>
      <xdr:row>77</xdr:row>
      <xdr:rowOff>5602</xdr:rowOff>
    </xdr:to>
    <xdr:graphicFrame macro="">
      <xdr:nvGraphicFramePr>
        <xdr:cNvPr id="10" name="Graphique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526676</xdr:colOff>
      <xdr:row>47</xdr:row>
      <xdr:rowOff>81803</xdr:rowOff>
    </xdr:from>
    <xdr:to>
      <xdr:col>6</xdr:col>
      <xdr:colOff>526676</xdr:colOff>
      <xdr:row>61</xdr:row>
      <xdr:rowOff>158003</xdr:rowOff>
    </xdr:to>
    <xdr:graphicFrame macro="">
      <xdr:nvGraphicFramePr>
        <xdr:cNvPr id="11" name="Graphique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536201</xdr:colOff>
      <xdr:row>62</xdr:row>
      <xdr:rowOff>81803</xdr:rowOff>
    </xdr:from>
    <xdr:to>
      <xdr:col>6</xdr:col>
      <xdr:colOff>536201</xdr:colOff>
      <xdr:row>76</xdr:row>
      <xdr:rowOff>158003</xdr:rowOff>
    </xdr:to>
    <xdr:graphicFrame macro="">
      <xdr:nvGraphicFramePr>
        <xdr:cNvPr id="12" name="Graphique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155762</xdr:colOff>
      <xdr:row>77</xdr:row>
      <xdr:rowOff>89647</xdr:rowOff>
    </xdr:from>
    <xdr:to>
      <xdr:col>9</xdr:col>
      <xdr:colOff>1594037</xdr:colOff>
      <xdr:row>91</xdr:row>
      <xdr:rowOff>165847</xdr:rowOff>
    </xdr:to>
    <xdr:graphicFrame macro="">
      <xdr:nvGraphicFramePr>
        <xdr:cNvPr id="13" name="Graphique 3">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155762</xdr:colOff>
      <xdr:row>92</xdr:row>
      <xdr:rowOff>142314</xdr:rowOff>
    </xdr:from>
    <xdr:to>
      <xdr:col>9</xdr:col>
      <xdr:colOff>1594037</xdr:colOff>
      <xdr:row>107</xdr:row>
      <xdr:rowOff>28014</xdr:rowOff>
    </xdr:to>
    <xdr:graphicFrame macro="">
      <xdr:nvGraphicFramePr>
        <xdr:cNvPr id="14" name="Graphique 4">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551890</xdr:colOff>
      <xdr:row>77</xdr:row>
      <xdr:rowOff>104215</xdr:rowOff>
    </xdr:from>
    <xdr:to>
      <xdr:col>6</xdr:col>
      <xdr:colOff>551890</xdr:colOff>
      <xdr:row>91</xdr:row>
      <xdr:rowOff>180415</xdr:rowOff>
    </xdr:to>
    <xdr:graphicFrame macro="">
      <xdr:nvGraphicFramePr>
        <xdr:cNvPr id="15" name="Graphique 6">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561415</xdr:colOff>
      <xdr:row>92</xdr:row>
      <xdr:rowOff>104215</xdr:rowOff>
    </xdr:from>
    <xdr:to>
      <xdr:col>6</xdr:col>
      <xdr:colOff>561415</xdr:colOff>
      <xdr:row>106</xdr:row>
      <xdr:rowOff>180415</xdr:rowOff>
    </xdr:to>
    <xdr:graphicFrame macro="">
      <xdr:nvGraphicFramePr>
        <xdr:cNvPr id="16" name="Graphique 7">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152960</xdr:colOff>
      <xdr:row>107</xdr:row>
      <xdr:rowOff>128307</xdr:rowOff>
    </xdr:from>
    <xdr:to>
      <xdr:col>9</xdr:col>
      <xdr:colOff>1591235</xdr:colOff>
      <xdr:row>122</xdr:row>
      <xdr:rowOff>14007</xdr:rowOff>
    </xdr:to>
    <xdr:graphicFrame macro="">
      <xdr:nvGraphicFramePr>
        <xdr:cNvPr id="17" name="Graphique 8">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152960</xdr:colOff>
      <xdr:row>122</xdr:row>
      <xdr:rowOff>180974</xdr:rowOff>
    </xdr:from>
    <xdr:to>
      <xdr:col>9</xdr:col>
      <xdr:colOff>1591235</xdr:colOff>
      <xdr:row>137</xdr:row>
      <xdr:rowOff>66674</xdr:rowOff>
    </xdr:to>
    <xdr:graphicFrame macro="">
      <xdr:nvGraphicFramePr>
        <xdr:cNvPr id="18" name="Graphique 9">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549088</xdr:colOff>
      <xdr:row>107</xdr:row>
      <xdr:rowOff>142875</xdr:rowOff>
    </xdr:from>
    <xdr:to>
      <xdr:col>6</xdr:col>
      <xdr:colOff>549088</xdr:colOff>
      <xdr:row>122</xdr:row>
      <xdr:rowOff>28575</xdr:rowOff>
    </xdr:to>
    <xdr:graphicFrame macro="">
      <xdr:nvGraphicFramePr>
        <xdr:cNvPr id="19" name="Graphique 10">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558613</xdr:colOff>
      <xdr:row>122</xdr:row>
      <xdr:rowOff>142875</xdr:rowOff>
    </xdr:from>
    <xdr:to>
      <xdr:col>6</xdr:col>
      <xdr:colOff>558613</xdr:colOff>
      <xdr:row>137</xdr:row>
      <xdr:rowOff>28575</xdr:rowOff>
    </xdr:to>
    <xdr:graphicFrame macro="">
      <xdr:nvGraphicFramePr>
        <xdr:cNvPr id="20" name="Graphique 11">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152961</xdr:colOff>
      <xdr:row>137</xdr:row>
      <xdr:rowOff>134470</xdr:rowOff>
    </xdr:from>
    <xdr:to>
      <xdr:col>9</xdr:col>
      <xdr:colOff>1591236</xdr:colOff>
      <xdr:row>152</xdr:row>
      <xdr:rowOff>20170</xdr:rowOff>
    </xdr:to>
    <xdr:graphicFrame macro="">
      <xdr:nvGraphicFramePr>
        <xdr:cNvPr id="21" name="Graphique 8">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152961</xdr:colOff>
      <xdr:row>152</xdr:row>
      <xdr:rowOff>187137</xdr:rowOff>
    </xdr:from>
    <xdr:to>
      <xdr:col>9</xdr:col>
      <xdr:colOff>1591236</xdr:colOff>
      <xdr:row>167</xdr:row>
      <xdr:rowOff>72837</xdr:rowOff>
    </xdr:to>
    <xdr:graphicFrame macro="">
      <xdr:nvGraphicFramePr>
        <xdr:cNvPr id="22" name="Graphique 9">
          <a:extLst>
            <a:ext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549089</xdr:colOff>
      <xdr:row>137</xdr:row>
      <xdr:rowOff>149038</xdr:rowOff>
    </xdr:from>
    <xdr:to>
      <xdr:col>6</xdr:col>
      <xdr:colOff>549089</xdr:colOff>
      <xdr:row>152</xdr:row>
      <xdr:rowOff>34738</xdr:rowOff>
    </xdr:to>
    <xdr:graphicFrame macro="">
      <xdr:nvGraphicFramePr>
        <xdr:cNvPr id="23" name="Graphique 10">
          <a:extLst>
            <a:ext uri="{FF2B5EF4-FFF2-40B4-BE49-F238E27FC236}">
              <a16:creationId xmlns:a16="http://schemas.microsoft.com/office/drawing/2014/main" id="{00000000-0008-0000-02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558614</xdr:colOff>
      <xdr:row>152</xdr:row>
      <xdr:rowOff>149038</xdr:rowOff>
    </xdr:from>
    <xdr:to>
      <xdr:col>6</xdr:col>
      <xdr:colOff>558614</xdr:colOff>
      <xdr:row>167</xdr:row>
      <xdr:rowOff>34738</xdr:rowOff>
    </xdr:to>
    <xdr:graphicFrame macro="">
      <xdr:nvGraphicFramePr>
        <xdr:cNvPr id="24" name="Graphique 11">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2705100</xdr:colOff>
      <xdr:row>48</xdr:row>
      <xdr:rowOff>76200</xdr:rowOff>
    </xdr:from>
    <xdr:to>
      <xdr:col>4</xdr:col>
      <xdr:colOff>2867025</xdr:colOff>
      <xdr:row>49</xdr:row>
      <xdr:rowOff>0</xdr:rowOff>
    </xdr:to>
    <xdr:pic>
      <xdr:nvPicPr>
        <xdr:cNvPr id="17409" name="Picture 1">
          <a:extLst>
            <a:ext uri="{FF2B5EF4-FFF2-40B4-BE49-F238E27FC236}">
              <a16:creationId xmlns:a16="http://schemas.microsoft.com/office/drawing/2014/main" id="{00000000-0008-0000-0300-000001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67250" y="11430000"/>
          <a:ext cx="161925" cy="161925"/>
        </a:xfrm>
        <a:prstGeom prst="rect">
          <a:avLst/>
        </a:prstGeom>
        <a:noFill/>
        <a:ln w="1">
          <a:noFill/>
          <a:miter lim="800000"/>
          <a:headEnd/>
          <a:tailEnd type="none" w="med" len="med"/>
        </a:ln>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5</xdr:col>
      <xdr:colOff>47625</xdr:colOff>
      <xdr:row>8</xdr:row>
      <xdr:rowOff>47625</xdr:rowOff>
    </xdr:to>
    <xdr:sp macro="" textlink="">
      <xdr:nvSpPr>
        <xdr:cNvPr id="2" name="Text Box 1">
          <a:extLst>
            <a:ext uri="{FF2B5EF4-FFF2-40B4-BE49-F238E27FC236}">
              <a16:creationId xmlns:a16="http://schemas.microsoft.com/office/drawing/2014/main" id="{00000000-0008-0000-0700-000002000000}"/>
            </a:ext>
          </a:extLst>
        </xdr:cNvPr>
        <xdr:cNvSpPr txBox="1">
          <a:spLocks noChangeArrowheads="1"/>
        </xdr:cNvSpPr>
      </xdr:nvSpPr>
      <xdr:spPr bwMode="auto">
        <a:xfrm>
          <a:off x="4076700" y="123825"/>
          <a:ext cx="58102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Times New Roman"/>
              <a:ea typeface="Times New Roman"/>
              <a:cs typeface="Times New Roman"/>
            </a:rPr>
            <a:t>Marketing Requirement Document</a:t>
          </a:r>
          <a:endParaRPr lang="en-US" sz="2000" b="0"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r>
            <a:rPr lang="en-US" sz="2000" b="1" i="0" strike="noStrike">
              <a:solidFill>
                <a:srgbClr val="000000"/>
              </a:solidFill>
              <a:latin typeface="Times New Roman"/>
              <a:ea typeface="Times New Roman"/>
              <a:cs typeface="Times New Roman"/>
            </a:rPr>
            <a:t>For</a:t>
          </a: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r>
            <a:rPr lang="en-US" sz="2000" b="1" i="0" strike="noStrike">
              <a:solidFill>
                <a:srgbClr val="000000"/>
              </a:solidFill>
              <a:latin typeface="Times New Roman"/>
              <a:ea typeface="Times New Roman"/>
              <a:cs typeface="Times New Roman"/>
            </a:rPr>
            <a:t>[ Product ]</a:t>
          </a:r>
          <a:endParaRPr lang="en-US" sz="1200" b="0" i="0" strike="noStrike">
            <a:solidFill>
              <a:srgbClr val="000000"/>
            </a:solidFill>
            <a:latin typeface="Times New Roman"/>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1385887</xdr:colOff>
      <xdr:row>6</xdr:row>
      <xdr:rowOff>114300</xdr:rowOff>
    </xdr:to>
    <xdr:pic>
      <xdr:nvPicPr>
        <xdr:cNvPr id="3" name="Picture 1" descr="SierraLogoTM_CMYK_horiz_highres">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Feuil2"/>
  <dimension ref="A1:Z60"/>
  <sheetViews>
    <sheetView showGridLines="0" topLeftCell="A19" zoomScale="80" zoomScaleNormal="80" zoomScalePageLayoutView="80" workbookViewId="0"/>
  </sheetViews>
  <sheetFormatPr defaultColWidth="12.42578125" defaultRowHeight="12.75"/>
  <cols>
    <col min="1" max="1" width="12.42578125" style="127"/>
    <col min="2" max="2" width="14.7109375" style="127" customWidth="1"/>
    <col min="3" max="3" width="14.140625" style="128" bestFit="1" customWidth="1"/>
    <col min="4" max="4" width="20.85546875" style="127" customWidth="1"/>
    <col min="5" max="5" width="70.42578125" style="127" customWidth="1"/>
    <col min="6" max="16384" width="12.42578125" style="127"/>
  </cols>
  <sheetData>
    <row r="1" spans="1:26">
      <c r="A1" s="2"/>
      <c r="B1" s="1"/>
      <c r="C1" s="1"/>
      <c r="D1" s="1"/>
      <c r="E1" s="2"/>
      <c r="F1" s="2"/>
      <c r="G1" s="2"/>
      <c r="H1" s="2"/>
      <c r="I1" s="2"/>
      <c r="J1" s="2"/>
      <c r="K1" s="2"/>
      <c r="L1" s="2"/>
      <c r="M1" s="2"/>
      <c r="N1" s="2"/>
      <c r="O1" s="2"/>
      <c r="P1" s="2"/>
      <c r="Q1" s="2"/>
      <c r="R1" s="2"/>
      <c r="S1" s="2"/>
      <c r="T1" s="2"/>
      <c r="U1" s="2"/>
      <c r="V1" s="2"/>
      <c r="W1" s="2"/>
      <c r="X1" s="2"/>
      <c r="Y1" s="2"/>
      <c r="Z1" s="2"/>
    </row>
    <row r="2" spans="1:26">
      <c r="A2" s="2"/>
      <c r="B2" s="1"/>
      <c r="C2" s="1"/>
      <c r="D2" s="1"/>
      <c r="E2" s="2"/>
      <c r="F2" s="2"/>
      <c r="G2" s="2"/>
      <c r="H2" s="2"/>
      <c r="I2" s="2"/>
      <c r="J2" s="2"/>
      <c r="K2" s="2"/>
      <c r="L2" s="2"/>
      <c r="M2" s="2"/>
      <c r="N2" s="2"/>
      <c r="O2" s="2"/>
      <c r="P2" s="2"/>
      <c r="Q2" s="2"/>
      <c r="R2" s="2"/>
      <c r="S2" s="2"/>
      <c r="T2" s="2"/>
      <c r="U2" s="2"/>
      <c r="V2" s="2"/>
      <c r="W2" s="2"/>
      <c r="X2" s="2"/>
      <c r="Y2" s="2"/>
      <c r="Z2" s="2"/>
    </row>
    <row r="3" spans="1:26" ht="18">
      <c r="A3" s="2"/>
      <c r="B3" s="25"/>
      <c r="C3" s="30"/>
      <c r="D3" s="25"/>
      <c r="E3" s="2"/>
      <c r="F3" s="2"/>
      <c r="G3" s="2"/>
      <c r="H3" s="2"/>
      <c r="I3" s="2"/>
      <c r="J3" s="2"/>
      <c r="K3" s="2"/>
      <c r="L3" s="2"/>
      <c r="M3" s="2"/>
      <c r="N3" s="2"/>
      <c r="O3" s="2"/>
      <c r="P3" s="2"/>
      <c r="Q3" s="2"/>
      <c r="R3" s="2"/>
      <c r="S3" s="2"/>
      <c r="T3" s="2"/>
      <c r="U3" s="2"/>
      <c r="V3" s="2"/>
      <c r="W3" s="2"/>
      <c r="X3" s="2"/>
      <c r="Y3" s="2"/>
      <c r="Z3" s="2"/>
    </row>
    <row r="4" spans="1:26" ht="18">
      <c r="A4" s="2"/>
      <c r="B4" s="25"/>
      <c r="C4" s="30"/>
      <c r="D4" s="25"/>
      <c r="E4" s="2"/>
      <c r="F4" s="2"/>
      <c r="G4" s="2"/>
      <c r="H4" s="2"/>
      <c r="I4" s="2"/>
      <c r="J4" s="2"/>
      <c r="K4" s="2"/>
      <c r="L4" s="2"/>
      <c r="M4" s="2"/>
      <c r="N4" s="2"/>
      <c r="O4" s="2"/>
      <c r="P4" s="2"/>
      <c r="Q4" s="2"/>
      <c r="R4" s="2"/>
      <c r="S4" s="2"/>
      <c r="T4" s="2"/>
      <c r="U4" s="2"/>
      <c r="V4" s="2"/>
      <c r="W4" s="2"/>
      <c r="X4" s="2"/>
      <c r="Y4" s="2"/>
      <c r="Z4" s="2"/>
    </row>
    <row r="5" spans="1:26" ht="18">
      <c r="A5" s="2"/>
      <c r="B5" s="25"/>
      <c r="C5" s="30"/>
      <c r="D5" s="25"/>
      <c r="E5" s="2"/>
      <c r="F5" s="2"/>
      <c r="G5" s="2"/>
      <c r="H5" s="2"/>
      <c r="I5" s="2"/>
      <c r="J5" s="2"/>
      <c r="K5" s="2"/>
      <c r="L5" s="2"/>
      <c r="M5" s="2"/>
      <c r="N5" s="2"/>
      <c r="O5" s="2"/>
      <c r="P5" s="2"/>
      <c r="Q5" s="2"/>
      <c r="R5" s="2"/>
      <c r="S5" s="2"/>
      <c r="T5" s="2"/>
      <c r="U5" s="2"/>
      <c r="V5" s="2"/>
      <c r="W5" s="2"/>
      <c r="X5" s="2"/>
      <c r="Y5" s="2"/>
      <c r="Z5" s="2"/>
    </row>
    <row r="6" spans="1:26" ht="18">
      <c r="A6" s="2"/>
      <c r="B6" s="25"/>
      <c r="C6" s="30"/>
      <c r="D6" s="25"/>
      <c r="E6" s="2"/>
      <c r="F6" s="2"/>
      <c r="G6" s="2"/>
      <c r="H6" s="2"/>
      <c r="I6" s="2"/>
      <c r="J6" s="2"/>
      <c r="K6" s="2"/>
      <c r="L6" s="2"/>
      <c r="M6" s="2"/>
      <c r="N6" s="2"/>
      <c r="O6" s="2"/>
      <c r="P6" s="2"/>
      <c r="Q6" s="2"/>
      <c r="R6" s="2"/>
      <c r="S6" s="2"/>
      <c r="T6" s="2"/>
      <c r="U6" s="2"/>
      <c r="V6" s="2"/>
      <c r="W6" s="2"/>
      <c r="X6" s="2"/>
      <c r="Y6" s="2"/>
      <c r="Z6" s="2"/>
    </row>
    <row r="7" spans="1:26" ht="18">
      <c r="A7" s="2"/>
      <c r="B7" s="25"/>
      <c r="C7" s="30"/>
      <c r="D7" s="25"/>
      <c r="E7" s="2"/>
      <c r="F7" s="2"/>
      <c r="G7" s="2"/>
      <c r="H7" s="2"/>
      <c r="I7" s="2"/>
      <c r="J7" s="2"/>
      <c r="K7" s="2"/>
      <c r="L7" s="2"/>
      <c r="M7" s="2"/>
      <c r="N7" s="2"/>
      <c r="O7" s="2"/>
      <c r="P7" s="2"/>
      <c r="Q7" s="2"/>
      <c r="R7" s="2"/>
      <c r="S7" s="2"/>
      <c r="T7" s="2"/>
      <c r="U7" s="2"/>
      <c r="V7" s="2"/>
      <c r="W7" s="2"/>
      <c r="X7" s="2"/>
      <c r="Y7" s="2"/>
      <c r="Z7" s="2"/>
    </row>
    <row r="8" spans="1:26" ht="18">
      <c r="A8" s="2"/>
      <c r="B8" s="25"/>
      <c r="C8" s="30"/>
      <c r="D8" s="25"/>
      <c r="E8" s="2"/>
      <c r="F8" s="2"/>
      <c r="G8" s="2"/>
      <c r="H8" s="2"/>
      <c r="I8" s="2"/>
      <c r="J8" s="2"/>
      <c r="K8" s="2"/>
      <c r="L8" s="2"/>
      <c r="M8" s="2"/>
      <c r="N8" s="2"/>
      <c r="O8" s="2"/>
      <c r="P8" s="2"/>
      <c r="Q8" s="2"/>
      <c r="R8" s="2"/>
      <c r="S8" s="2"/>
      <c r="T8" s="2"/>
      <c r="U8" s="2"/>
      <c r="V8" s="2"/>
      <c r="W8" s="2"/>
      <c r="X8" s="2"/>
      <c r="Y8" s="2"/>
      <c r="Z8" s="2"/>
    </row>
    <row r="9" spans="1:26">
      <c r="A9" s="2"/>
      <c r="B9" s="2"/>
      <c r="C9" s="31"/>
      <c r="D9" s="2"/>
      <c r="E9" s="2"/>
      <c r="F9" s="2"/>
      <c r="G9" s="2"/>
      <c r="H9" s="2"/>
      <c r="I9" s="2"/>
      <c r="J9" s="2"/>
      <c r="K9" s="2"/>
      <c r="L9" s="2"/>
      <c r="M9" s="2"/>
      <c r="N9" s="2"/>
      <c r="O9" s="2"/>
      <c r="P9" s="2"/>
      <c r="Q9" s="2"/>
      <c r="R9" s="2"/>
      <c r="S9" s="2"/>
      <c r="T9" s="2"/>
      <c r="U9" s="2"/>
      <c r="V9" s="2"/>
      <c r="W9" s="2"/>
      <c r="X9" s="2"/>
      <c r="Y9" s="2"/>
      <c r="Z9" s="2"/>
    </row>
    <row r="10" spans="1:26">
      <c r="A10" s="2"/>
      <c r="B10" s="2"/>
      <c r="C10" s="31"/>
      <c r="D10" s="2"/>
      <c r="E10" s="2"/>
      <c r="F10" s="2"/>
      <c r="G10" s="2"/>
      <c r="H10" s="2"/>
      <c r="I10" s="2"/>
      <c r="J10" s="2"/>
      <c r="K10" s="2"/>
      <c r="L10" s="2"/>
      <c r="M10" s="2"/>
      <c r="N10" s="2"/>
      <c r="O10" s="2"/>
      <c r="P10" s="2"/>
      <c r="Q10" s="2"/>
      <c r="R10" s="2"/>
      <c r="S10" s="2"/>
      <c r="T10" s="2"/>
      <c r="U10" s="2"/>
      <c r="V10" s="2"/>
      <c r="W10" s="2"/>
      <c r="X10" s="2"/>
      <c r="Y10" s="2"/>
      <c r="Z10" s="2"/>
    </row>
    <row r="11" spans="1:26">
      <c r="A11" s="2"/>
      <c r="B11" s="2"/>
      <c r="C11" s="31"/>
      <c r="D11" s="2"/>
      <c r="E11" s="2"/>
      <c r="F11" s="2"/>
      <c r="G11" s="2"/>
      <c r="H11" s="2"/>
      <c r="I11" s="2"/>
      <c r="J11" s="2"/>
      <c r="K11" s="2"/>
      <c r="L11" s="2"/>
      <c r="M11" s="2"/>
      <c r="N11" s="2"/>
      <c r="O11" s="2"/>
      <c r="P11" s="2"/>
      <c r="Q11" s="2"/>
      <c r="R11" s="2"/>
      <c r="S11" s="2"/>
      <c r="T11" s="2"/>
      <c r="U11" s="2"/>
      <c r="V11" s="2"/>
      <c r="W11" s="2"/>
      <c r="X11" s="2"/>
      <c r="Y11" s="2"/>
      <c r="Z11" s="2"/>
    </row>
    <row r="12" spans="1:26" ht="13.5" thickBot="1">
      <c r="A12" s="2"/>
      <c r="B12" s="2"/>
      <c r="C12" s="31"/>
      <c r="D12" s="2"/>
      <c r="E12" s="2"/>
      <c r="F12" s="2"/>
      <c r="G12" s="2"/>
      <c r="H12" s="2"/>
      <c r="I12" s="2"/>
      <c r="J12" s="2"/>
      <c r="K12" s="2"/>
      <c r="L12" s="2"/>
      <c r="M12" s="2"/>
      <c r="N12" s="2"/>
      <c r="O12" s="2"/>
      <c r="P12" s="2"/>
      <c r="Q12" s="2"/>
      <c r="R12" s="2"/>
      <c r="S12" s="2"/>
      <c r="T12" s="2"/>
      <c r="U12" s="2"/>
      <c r="V12" s="2"/>
      <c r="W12" s="2"/>
      <c r="X12" s="2"/>
      <c r="Y12" s="2"/>
      <c r="Z12" s="2"/>
    </row>
    <row r="13" spans="1:26" ht="21.75" thickBot="1">
      <c r="A13" s="2"/>
      <c r="B13" s="186" t="s">
        <v>264</v>
      </c>
      <c r="C13" s="187"/>
      <c r="D13" s="187"/>
      <c r="E13" s="188"/>
      <c r="F13" s="2"/>
      <c r="G13" s="2"/>
      <c r="H13" s="2"/>
      <c r="I13" s="2"/>
      <c r="J13" s="2"/>
      <c r="K13" s="2"/>
      <c r="L13" s="2"/>
      <c r="M13" s="2"/>
      <c r="N13" s="2"/>
      <c r="O13" s="2"/>
      <c r="P13" s="2"/>
      <c r="Q13" s="2"/>
      <c r="R13" s="2"/>
      <c r="S13" s="2"/>
      <c r="T13" s="2"/>
      <c r="U13" s="2"/>
      <c r="V13" s="2"/>
      <c r="W13" s="2"/>
      <c r="X13" s="2"/>
      <c r="Y13" s="2"/>
      <c r="Z13" s="2"/>
    </row>
    <row r="14" spans="1:26" s="129" customFormat="1" ht="21.75" thickBot="1">
      <c r="A14" s="3"/>
      <c r="B14" s="116" t="s">
        <v>1</v>
      </c>
      <c r="C14" s="117" t="s">
        <v>2</v>
      </c>
      <c r="D14" s="118" t="s">
        <v>3</v>
      </c>
      <c r="E14" s="119" t="s">
        <v>248</v>
      </c>
      <c r="F14" s="3"/>
      <c r="G14" s="3"/>
      <c r="H14" s="3"/>
      <c r="I14" s="3"/>
      <c r="J14" s="3"/>
      <c r="K14" s="3"/>
      <c r="L14" s="3"/>
      <c r="M14" s="3"/>
      <c r="N14" s="3"/>
      <c r="O14" s="3"/>
      <c r="P14" s="3"/>
      <c r="Q14" s="3"/>
      <c r="R14" s="3"/>
      <c r="S14" s="3"/>
      <c r="T14" s="3"/>
      <c r="U14" s="3"/>
      <c r="V14" s="3"/>
      <c r="W14" s="3"/>
      <c r="X14" s="3"/>
      <c r="Y14" s="3"/>
      <c r="Z14" s="3"/>
    </row>
    <row r="15" spans="1:26">
      <c r="A15" s="2"/>
      <c r="B15" s="88" t="s">
        <v>114</v>
      </c>
      <c r="C15" s="32">
        <v>41326</v>
      </c>
      <c r="D15" s="85" t="s">
        <v>265</v>
      </c>
      <c r="E15" s="83" t="s">
        <v>266</v>
      </c>
      <c r="F15" s="2"/>
      <c r="G15" s="2"/>
      <c r="H15" s="2"/>
      <c r="I15" s="2"/>
      <c r="J15" s="2"/>
      <c r="K15" s="2"/>
      <c r="L15" s="2"/>
      <c r="M15" s="2"/>
      <c r="N15" s="2"/>
      <c r="O15" s="2"/>
      <c r="P15" s="2"/>
      <c r="Q15" s="2"/>
      <c r="R15" s="2"/>
      <c r="S15" s="2"/>
      <c r="T15" s="2"/>
      <c r="U15" s="2"/>
      <c r="V15" s="2"/>
      <c r="W15" s="2"/>
      <c r="X15" s="2"/>
      <c r="Y15" s="2"/>
      <c r="Z15" s="2"/>
    </row>
    <row r="16" spans="1:26">
      <c r="A16" s="2"/>
      <c r="B16" s="89" t="s">
        <v>115</v>
      </c>
      <c r="C16" s="33">
        <v>41522</v>
      </c>
      <c r="D16" s="80" t="s">
        <v>267</v>
      </c>
      <c r="E16" s="82" t="s">
        <v>268</v>
      </c>
      <c r="F16" s="2"/>
      <c r="G16" s="2"/>
      <c r="H16" s="2"/>
      <c r="I16" s="2"/>
      <c r="J16" s="2"/>
      <c r="K16" s="2"/>
      <c r="L16" s="2"/>
      <c r="M16" s="2"/>
      <c r="N16" s="2"/>
      <c r="O16" s="2"/>
      <c r="P16" s="2"/>
      <c r="Q16" s="2"/>
      <c r="R16" s="2"/>
      <c r="S16" s="2"/>
      <c r="T16" s="2"/>
      <c r="U16" s="2"/>
      <c r="V16" s="2"/>
      <c r="W16" s="2"/>
      <c r="X16" s="2"/>
      <c r="Y16" s="2"/>
      <c r="Z16" s="2"/>
    </row>
    <row r="17" spans="1:26">
      <c r="A17" s="2"/>
      <c r="B17" s="89" t="s">
        <v>116</v>
      </c>
      <c r="C17" s="33">
        <v>41530</v>
      </c>
      <c r="D17" s="80" t="s">
        <v>267</v>
      </c>
      <c r="E17" s="82" t="s">
        <v>269</v>
      </c>
      <c r="F17" s="2"/>
      <c r="G17" s="2"/>
      <c r="H17" s="2"/>
      <c r="I17" s="2"/>
      <c r="J17" s="2"/>
      <c r="K17" s="2"/>
      <c r="L17" s="2"/>
      <c r="M17" s="2"/>
      <c r="N17" s="2"/>
      <c r="O17" s="2"/>
      <c r="P17" s="2"/>
      <c r="Q17" s="2"/>
      <c r="R17" s="2"/>
      <c r="S17" s="2"/>
      <c r="T17" s="2"/>
      <c r="U17" s="2"/>
      <c r="V17" s="2"/>
      <c r="W17" s="2"/>
      <c r="X17" s="2"/>
      <c r="Y17" s="2"/>
      <c r="Z17" s="2"/>
    </row>
    <row r="18" spans="1:26">
      <c r="A18" s="2"/>
      <c r="B18" s="89" t="s">
        <v>117</v>
      </c>
      <c r="C18" s="33">
        <v>42423</v>
      </c>
      <c r="D18" s="80" t="s">
        <v>265</v>
      </c>
      <c r="E18" s="82" t="s">
        <v>270</v>
      </c>
      <c r="F18" s="2"/>
      <c r="G18" s="2"/>
      <c r="H18" s="2"/>
      <c r="I18" s="2"/>
      <c r="J18" s="2"/>
      <c r="K18" s="2"/>
      <c r="L18" s="2"/>
      <c r="M18" s="2"/>
      <c r="N18" s="2"/>
      <c r="O18" s="2"/>
      <c r="P18" s="2"/>
      <c r="Q18" s="2"/>
      <c r="R18" s="2"/>
      <c r="S18" s="2"/>
      <c r="T18" s="2"/>
      <c r="U18" s="2"/>
      <c r="V18" s="2"/>
      <c r="W18" s="2"/>
      <c r="X18" s="2"/>
      <c r="Y18" s="2"/>
      <c r="Z18" s="2"/>
    </row>
    <row r="19" spans="1:26">
      <c r="A19" s="2"/>
      <c r="B19" s="89" t="s">
        <v>118</v>
      </c>
      <c r="C19" s="33">
        <v>42425</v>
      </c>
      <c r="D19" s="80" t="s">
        <v>265</v>
      </c>
      <c r="E19" s="82" t="s">
        <v>271</v>
      </c>
      <c r="F19" s="2"/>
      <c r="G19" s="2"/>
      <c r="H19" s="2"/>
      <c r="I19" s="2"/>
      <c r="J19" s="2"/>
      <c r="K19" s="2"/>
      <c r="L19" s="2"/>
      <c r="M19" s="2"/>
      <c r="N19" s="2"/>
      <c r="O19" s="2"/>
      <c r="P19" s="2"/>
      <c r="Q19" s="2"/>
      <c r="R19" s="2"/>
      <c r="S19" s="2"/>
      <c r="T19" s="2"/>
      <c r="U19" s="2"/>
      <c r="V19" s="2"/>
      <c r="W19" s="2"/>
      <c r="X19" s="2"/>
      <c r="Y19" s="2"/>
      <c r="Z19" s="2"/>
    </row>
    <row r="20" spans="1:26">
      <c r="A20" s="2"/>
      <c r="B20" s="89" t="s">
        <v>161</v>
      </c>
      <c r="C20" s="33">
        <v>42646</v>
      </c>
      <c r="D20" s="80" t="s">
        <v>249</v>
      </c>
      <c r="E20" s="82" t="s">
        <v>272</v>
      </c>
      <c r="F20" s="2"/>
      <c r="G20" s="2"/>
      <c r="H20" s="2"/>
      <c r="I20" s="2"/>
      <c r="J20" s="2"/>
      <c r="K20" s="2"/>
      <c r="L20" s="2"/>
      <c r="M20" s="2"/>
      <c r="N20" s="2"/>
      <c r="O20" s="2"/>
      <c r="P20" s="2"/>
      <c r="Q20" s="2"/>
      <c r="R20" s="2"/>
      <c r="S20" s="2"/>
      <c r="T20" s="2"/>
      <c r="U20" s="2"/>
      <c r="V20" s="2"/>
      <c r="W20" s="2"/>
      <c r="X20" s="2"/>
      <c r="Y20" s="2"/>
      <c r="Z20" s="2"/>
    </row>
    <row r="21" spans="1:26">
      <c r="A21" s="2"/>
      <c r="B21" s="89" t="s">
        <v>164</v>
      </c>
      <c r="C21" s="33">
        <v>42647</v>
      </c>
      <c r="D21" s="80" t="s">
        <v>249</v>
      </c>
      <c r="E21" s="82" t="s">
        <v>273</v>
      </c>
      <c r="F21" s="2"/>
      <c r="G21" s="2"/>
      <c r="H21" s="2"/>
      <c r="I21" s="2"/>
      <c r="J21" s="2"/>
      <c r="K21" s="2"/>
      <c r="L21" s="2"/>
      <c r="M21" s="2"/>
      <c r="N21" s="2"/>
      <c r="O21" s="2"/>
      <c r="P21" s="2"/>
      <c r="Q21" s="2"/>
      <c r="R21" s="2"/>
      <c r="S21" s="2"/>
      <c r="T21" s="2"/>
      <c r="U21" s="2"/>
      <c r="V21" s="2"/>
      <c r="W21" s="2"/>
      <c r="X21" s="2"/>
      <c r="Y21" s="2"/>
      <c r="Z21" s="2"/>
    </row>
    <row r="22" spans="1:26">
      <c r="A22" s="2"/>
      <c r="B22" s="89" t="s">
        <v>168</v>
      </c>
      <c r="C22" s="33">
        <v>42653</v>
      </c>
      <c r="D22" s="80" t="s">
        <v>249</v>
      </c>
      <c r="E22" s="82" t="s">
        <v>415</v>
      </c>
      <c r="F22" s="2"/>
      <c r="G22" s="2"/>
      <c r="H22" s="2"/>
      <c r="I22" s="2"/>
      <c r="J22" s="2"/>
      <c r="K22" s="2"/>
      <c r="L22" s="2"/>
      <c r="M22" s="2"/>
      <c r="N22" s="2"/>
      <c r="O22" s="2"/>
      <c r="P22" s="2"/>
      <c r="Q22" s="2"/>
      <c r="R22" s="2"/>
      <c r="S22" s="2"/>
      <c r="T22" s="2"/>
      <c r="U22" s="2"/>
      <c r="V22" s="2"/>
      <c r="W22" s="2"/>
      <c r="X22" s="2"/>
      <c r="Y22" s="2"/>
      <c r="Z22" s="2"/>
    </row>
    <row r="23" spans="1:26">
      <c r="A23" s="2"/>
      <c r="B23" s="89" t="s">
        <v>173</v>
      </c>
      <c r="C23" s="33">
        <v>42661</v>
      </c>
      <c r="D23" s="80" t="s">
        <v>265</v>
      </c>
      <c r="E23" s="82" t="s">
        <v>458</v>
      </c>
      <c r="F23" s="2"/>
      <c r="G23" s="2"/>
      <c r="H23" s="2"/>
      <c r="I23" s="2"/>
      <c r="J23" s="2"/>
      <c r="K23" s="2"/>
      <c r="L23" s="2"/>
      <c r="M23" s="2"/>
      <c r="N23" s="2"/>
      <c r="O23" s="2"/>
      <c r="P23" s="2"/>
      <c r="Q23" s="2"/>
      <c r="R23" s="2"/>
      <c r="S23" s="2"/>
      <c r="T23" s="2"/>
      <c r="U23" s="2"/>
      <c r="V23" s="2"/>
      <c r="W23" s="2"/>
      <c r="X23" s="2"/>
      <c r="Y23" s="2"/>
      <c r="Z23" s="2"/>
    </row>
    <row r="24" spans="1:26" ht="38.25">
      <c r="A24" s="2"/>
      <c r="B24" s="89" t="s">
        <v>175</v>
      </c>
      <c r="C24" s="33">
        <v>42662</v>
      </c>
      <c r="D24" s="80" t="s">
        <v>249</v>
      </c>
      <c r="E24" s="82" t="s">
        <v>468</v>
      </c>
      <c r="F24" s="2"/>
      <c r="G24" s="2"/>
      <c r="H24" s="2"/>
      <c r="I24" s="2"/>
      <c r="J24" s="2"/>
      <c r="K24" s="2"/>
      <c r="L24" s="2"/>
      <c r="M24" s="2"/>
      <c r="N24" s="2"/>
      <c r="O24" s="2"/>
      <c r="P24" s="2"/>
      <c r="Q24" s="2"/>
      <c r="R24" s="2"/>
      <c r="S24" s="2"/>
      <c r="T24" s="2"/>
      <c r="U24" s="2"/>
      <c r="V24" s="2"/>
      <c r="W24" s="2"/>
      <c r="X24" s="2"/>
      <c r="Y24" s="2"/>
      <c r="Z24" s="2"/>
    </row>
    <row r="25" spans="1:26" ht="87.75" customHeight="1">
      <c r="A25" s="2"/>
      <c r="B25" s="89" t="s">
        <v>177</v>
      </c>
      <c r="C25" s="33">
        <v>42667</v>
      </c>
      <c r="D25" s="80" t="s">
        <v>249</v>
      </c>
      <c r="E25" s="82" t="s">
        <v>471</v>
      </c>
      <c r="F25" s="2"/>
      <c r="G25" s="2"/>
      <c r="H25" s="2"/>
      <c r="I25" s="2"/>
      <c r="J25" s="2"/>
      <c r="K25" s="2"/>
      <c r="L25" s="2"/>
      <c r="M25" s="2"/>
      <c r="N25" s="2"/>
      <c r="O25" s="2"/>
      <c r="P25" s="2"/>
      <c r="Q25" s="2"/>
      <c r="R25" s="2"/>
      <c r="S25" s="2"/>
      <c r="T25" s="2"/>
      <c r="U25" s="2"/>
      <c r="V25" s="2"/>
      <c r="W25" s="2"/>
      <c r="X25" s="2"/>
      <c r="Y25" s="2"/>
      <c r="Z25" s="2"/>
    </row>
    <row r="26" spans="1:26" ht="76.5">
      <c r="A26" s="2"/>
      <c r="B26" s="89" t="s">
        <v>180</v>
      </c>
      <c r="C26" s="33">
        <v>42682</v>
      </c>
      <c r="D26" s="80" t="s">
        <v>249</v>
      </c>
      <c r="E26" s="82" t="s">
        <v>476</v>
      </c>
      <c r="F26" s="2"/>
      <c r="G26" s="2"/>
      <c r="H26" s="2"/>
      <c r="I26" s="2"/>
      <c r="J26" s="2"/>
      <c r="K26" s="2"/>
      <c r="L26" s="2"/>
      <c r="M26" s="2"/>
      <c r="N26" s="2"/>
      <c r="O26" s="2"/>
      <c r="P26" s="2"/>
      <c r="Q26" s="2"/>
      <c r="R26" s="2"/>
      <c r="S26" s="2"/>
      <c r="T26" s="2"/>
      <c r="U26" s="2"/>
      <c r="V26" s="2"/>
      <c r="W26" s="2"/>
      <c r="X26" s="2"/>
      <c r="Y26" s="2"/>
      <c r="Z26" s="2"/>
    </row>
    <row r="27" spans="1:26" ht="39" thickBot="1">
      <c r="A27" s="2"/>
      <c r="B27" s="130" t="s">
        <v>183</v>
      </c>
      <c r="C27" s="131">
        <v>42691</v>
      </c>
      <c r="D27" s="174" t="s">
        <v>249</v>
      </c>
      <c r="E27" s="185" t="s">
        <v>506</v>
      </c>
      <c r="F27" s="2"/>
      <c r="G27" s="2"/>
      <c r="H27" s="2"/>
      <c r="I27" s="2"/>
      <c r="J27" s="2"/>
      <c r="K27" s="2"/>
      <c r="L27" s="2"/>
      <c r="M27" s="2"/>
      <c r="N27" s="2"/>
      <c r="O27" s="2"/>
      <c r="P27" s="2"/>
      <c r="Q27" s="2"/>
      <c r="R27" s="2"/>
      <c r="S27" s="2"/>
      <c r="T27" s="2"/>
      <c r="U27" s="2"/>
      <c r="V27" s="2"/>
      <c r="W27" s="2"/>
      <c r="X27" s="2"/>
      <c r="Y27" s="2"/>
      <c r="Z27" s="2"/>
    </row>
    <row r="28" spans="1:26" ht="15" customHeight="1">
      <c r="A28" s="2"/>
      <c r="B28" s="189" t="s">
        <v>92</v>
      </c>
      <c r="C28" s="190"/>
      <c r="D28" s="190"/>
      <c r="E28" s="190"/>
      <c r="F28" s="2"/>
      <c r="G28" s="2"/>
      <c r="H28" s="2"/>
      <c r="I28" s="2"/>
      <c r="J28" s="2"/>
      <c r="K28" s="2"/>
      <c r="L28" s="2"/>
      <c r="M28" s="2"/>
      <c r="N28" s="2"/>
      <c r="O28" s="2"/>
      <c r="P28" s="2"/>
      <c r="Q28" s="2"/>
      <c r="R28" s="2"/>
      <c r="S28" s="2"/>
      <c r="T28" s="2"/>
      <c r="U28" s="2"/>
      <c r="V28" s="2"/>
      <c r="W28" s="2"/>
      <c r="X28" s="2"/>
      <c r="Y28" s="2"/>
      <c r="Z28" s="2"/>
    </row>
    <row r="29" spans="1:26">
      <c r="A29" s="2"/>
      <c r="B29" s="2"/>
      <c r="C29" s="31"/>
      <c r="D29" s="2"/>
      <c r="E29" s="2"/>
      <c r="F29" s="2"/>
      <c r="G29" s="2"/>
      <c r="H29" s="2"/>
      <c r="I29" s="2"/>
      <c r="J29" s="2"/>
      <c r="K29" s="2"/>
      <c r="L29" s="2"/>
      <c r="M29" s="2"/>
      <c r="N29" s="2"/>
      <c r="O29" s="2"/>
      <c r="P29" s="2"/>
      <c r="Q29" s="2"/>
      <c r="R29" s="2"/>
      <c r="S29" s="2"/>
      <c r="T29" s="2"/>
      <c r="U29" s="2"/>
      <c r="V29" s="2"/>
      <c r="W29" s="2"/>
      <c r="X29" s="2"/>
      <c r="Y29" s="2"/>
      <c r="Z29" s="2"/>
    </row>
    <row r="30" spans="1:26">
      <c r="A30" s="2"/>
      <c r="B30" s="2"/>
      <c r="C30" s="31"/>
      <c r="D30" s="2"/>
      <c r="E30" s="2"/>
      <c r="F30" s="2"/>
      <c r="G30" s="2"/>
      <c r="H30" s="2"/>
      <c r="I30" s="2"/>
      <c r="J30" s="2"/>
      <c r="K30" s="2"/>
      <c r="L30" s="2"/>
      <c r="M30" s="2"/>
      <c r="N30" s="2"/>
      <c r="O30" s="2"/>
      <c r="P30" s="2"/>
      <c r="Q30" s="2"/>
      <c r="R30" s="2"/>
      <c r="S30" s="2"/>
      <c r="T30" s="2"/>
      <c r="U30" s="2"/>
      <c r="V30" s="2"/>
      <c r="W30" s="2"/>
      <c r="X30" s="2"/>
      <c r="Y30" s="2"/>
      <c r="Z30" s="2"/>
    </row>
    <row r="31" spans="1:26">
      <c r="A31" s="2"/>
      <c r="B31" s="2"/>
      <c r="C31" s="31"/>
      <c r="D31" s="2"/>
      <c r="E31" s="2"/>
      <c r="F31" s="2"/>
      <c r="G31" s="2"/>
      <c r="H31" s="2"/>
      <c r="I31" s="2"/>
      <c r="J31" s="2"/>
      <c r="K31" s="2"/>
      <c r="L31" s="2"/>
      <c r="M31" s="2"/>
      <c r="N31" s="2"/>
      <c r="O31" s="2"/>
      <c r="P31" s="2"/>
      <c r="Q31" s="2"/>
      <c r="R31" s="2"/>
      <c r="S31" s="2"/>
      <c r="T31" s="2"/>
      <c r="U31" s="2"/>
      <c r="V31" s="2"/>
      <c r="W31" s="2"/>
      <c r="X31" s="2"/>
      <c r="Y31" s="2"/>
      <c r="Z31" s="2"/>
    </row>
    <row r="32" spans="1:26">
      <c r="A32" s="2"/>
      <c r="B32" s="2"/>
      <c r="C32" s="31"/>
      <c r="D32" s="2"/>
      <c r="E32" s="2"/>
      <c r="F32" s="2"/>
      <c r="G32" s="2"/>
      <c r="H32" s="2"/>
      <c r="I32" s="2"/>
      <c r="J32" s="2"/>
      <c r="K32" s="2"/>
      <c r="L32" s="2"/>
      <c r="M32" s="2"/>
      <c r="N32" s="2"/>
      <c r="O32" s="2"/>
      <c r="P32" s="2"/>
      <c r="Q32" s="2"/>
      <c r="R32" s="2"/>
      <c r="S32" s="2"/>
      <c r="T32" s="2"/>
      <c r="U32" s="2"/>
      <c r="V32" s="2"/>
      <c r="W32" s="2"/>
      <c r="X32" s="2"/>
      <c r="Y32" s="2"/>
      <c r="Z32" s="2"/>
    </row>
    <row r="33" spans="1:26">
      <c r="A33" s="2"/>
      <c r="B33" s="2"/>
      <c r="C33" s="31"/>
      <c r="D33" s="2"/>
      <c r="E33" s="2"/>
      <c r="F33" s="2"/>
      <c r="G33" s="2"/>
      <c r="H33" s="2"/>
      <c r="I33" s="2"/>
      <c r="J33" s="2"/>
      <c r="K33" s="2"/>
      <c r="L33" s="2"/>
      <c r="M33" s="2"/>
      <c r="N33" s="2"/>
      <c r="O33" s="2"/>
      <c r="P33" s="2"/>
      <c r="Q33" s="2"/>
      <c r="R33" s="2"/>
      <c r="S33" s="2"/>
      <c r="T33" s="2"/>
      <c r="U33" s="2"/>
      <c r="V33" s="2"/>
      <c r="W33" s="2"/>
      <c r="X33" s="2"/>
      <c r="Y33" s="2"/>
      <c r="Z33" s="2"/>
    </row>
    <row r="34" spans="1:26">
      <c r="A34" s="2"/>
      <c r="B34" s="2"/>
      <c r="C34" s="31"/>
      <c r="D34" s="2"/>
      <c r="E34" s="2"/>
      <c r="F34" s="2"/>
      <c r="G34" s="2"/>
      <c r="H34" s="2"/>
      <c r="I34" s="2"/>
      <c r="J34" s="2"/>
      <c r="K34" s="2"/>
      <c r="L34" s="2"/>
      <c r="M34" s="2"/>
      <c r="N34" s="2"/>
      <c r="O34" s="2"/>
      <c r="P34" s="2"/>
      <c r="Q34" s="2"/>
      <c r="R34" s="2"/>
      <c r="S34" s="2"/>
      <c r="T34" s="2"/>
      <c r="U34" s="2"/>
      <c r="V34" s="2"/>
      <c r="W34" s="2"/>
      <c r="X34" s="2"/>
      <c r="Y34" s="2"/>
      <c r="Z34" s="2"/>
    </row>
    <row r="35" spans="1:26">
      <c r="A35" s="2"/>
      <c r="B35" s="2"/>
      <c r="C35" s="31"/>
      <c r="D35" s="2"/>
      <c r="E35" s="2"/>
      <c r="F35" s="2"/>
      <c r="G35" s="2"/>
      <c r="H35" s="2"/>
      <c r="I35" s="2"/>
      <c r="J35" s="2"/>
      <c r="K35" s="2"/>
      <c r="L35" s="2"/>
      <c r="M35" s="2"/>
      <c r="N35" s="2"/>
      <c r="O35" s="2"/>
      <c r="P35" s="2"/>
      <c r="Q35" s="2"/>
      <c r="R35" s="2"/>
      <c r="S35" s="2"/>
      <c r="T35" s="2"/>
      <c r="U35" s="2"/>
      <c r="V35" s="2"/>
      <c r="W35" s="2"/>
      <c r="X35" s="2"/>
      <c r="Y35" s="2"/>
      <c r="Z35" s="2"/>
    </row>
    <row r="36" spans="1:26">
      <c r="A36" s="2"/>
      <c r="B36" s="2"/>
      <c r="C36" s="31"/>
      <c r="D36" s="2"/>
      <c r="E36" s="2"/>
      <c r="F36" s="2"/>
      <c r="G36" s="2"/>
      <c r="H36" s="2"/>
      <c r="I36" s="2"/>
      <c r="J36" s="2"/>
      <c r="K36" s="2"/>
      <c r="L36" s="2"/>
      <c r="M36" s="2"/>
      <c r="N36" s="2"/>
      <c r="O36" s="2"/>
      <c r="P36" s="2"/>
      <c r="Q36" s="2"/>
      <c r="R36" s="2"/>
      <c r="S36" s="2"/>
      <c r="T36" s="2"/>
      <c r="U36" s="2"/>
      <c r="V36" s="2"/>
      <c r="W36" s="2"/>
      <c r="X36" s="2"/>
      <c r="Y36" s="2"/>
      <c r="Z36" s="2"/>
    </row>
    <row r="37" spans="1:26">
      <c r="A37" s="2"/>
      <c r="B37" s="2"/>
      <c r="C37" s="31"/>
      <c r="D37" s="2"/>
      <c r="E37" s="2"/>
      <c r="F37" s="2"/>
      <c r="G37" s="2"/>
      <c r="H37" s="2"/>
      <c r="I37" s="2"/>
      <c r="J37" s="2"/>
      <c r="K37" s="2"/>
      <c r="L37" s="2"/>
      <c r="M37" s="2"/>
      <c r="N37" s="2"/>
      <c r="O37" s="2"/>
      <c r="P37" s="2"/>
      <c r="Q37" s="2"/>
      <c r="R37" s="2"/>
      <c r="S37" s="2"/>
      <c r="T37" s="2"/>
      <c r="U37" s="2"/>
      <c r="V37" s="2"/>
      <c r="W37" s="2"/>
      <c r="X37" s="2"/>
      <c r="Y37" s="2"/>
      <c r="Z37" s="2"/>
    </row>
    <row r="38" spans="1:26">
      <c r="A38" s="2"/>
      <c r="B38" s="2"/>
      <c r="C38" s="31"/>
      <c r="D38" s="2"/>
      <c r="E38" s="2"/>
      <c r="F38" s="2"/>
      <c r="G38" s="2"/>
      <c r="H38" s="2"/>
      <c r="I38" s="2"/>
      <c r="J38" s="2"/>
      <c r="K38" s="2"/>
      <c r="L38" s="2"/>
      <c r="M38" s="2"/>
      <c r="N38" s="2"/>
      <c r="O38" s="2"/>
      <c r="P38" s="2"/>
      <c r="Q38" s="2"/>
      <c r="R38" s="2"/>
      <c r="S38" s="2"/>
      <c r="T38" s="2"/>
      <c r="U38" s="2"/>
      <c r="V38" s="2"/>
      <c r="W38" s="2"/>
      <c r="X38" s="2"/>
      <c r="Y38" s="2"/>
      <c r="Z38" s="2"/>
    </row>
    <row r="39" spans="1:26">
      <c r="A39" s="2"/>
      <c r="B39" s="2"/>
      <c r="C39" s="31"/>
      <c r="D39" s="2"/>
      <c r="E39" s="2"/>
      <c r="F39" s="2"/>
      <c r="G39" s="2"/>
      <c r="H39" s="2"/>
      <c r="I39" s="2"/>
      <c r="J39" s="2"/>
      <c r="K39" s="2"/>
      <c r="L39" s="2"/>
      <c r="M39" s="2"/>
      <c r="N39" s="2"/>
      <c r="O39" s="2"/>
      <c r="P39" s="2"/>
      <c r="Q39" s="2"/>
      <c r="R39" s="2"/>
      <c r="S39" s="2"/>
      <c r="T39" s="2"/>
      <c r="U39" s="2"/>
      <c r="V39" s="2"/>
      <c r="W39" s="2"/>
      <c r="X39" s="2"/>
      <c r="Y39" s="2"/>
      <c r="Z39" s="2"/>
    </row>
    <row r="40" spans="1:26">
      <c r="A40" s="2"/>
      <c r="B40" s="2"/>
      <c r="C40" s="31"/>
      <c r="D40" s="2"/>
      <c r="E40" s="2"/>
      <c r="F40" s="2"/>
      <c r="G40" s="2"/>
      <c r="H40" s="2"/>
      <c r="I40" s="2"/>
      <c r="J40" s="2"/>
      <c r="K40" s="2"/>
      <c r="L40" s="2"/>
      <c r="M40" s="2"/>
      <c r="N40" s="2"/>
      <c r="O40" s="2"/>
      <c r="P40" s="2"/>
      <c r="Q40" s="2"/>
      <c r="R40" s="2"/>
      <c r="S40" s="2"/>
      <c r="T40" s="2"/>
      <c r="U40" s="2"/>
      <c r="V40" s="2"/>
      <c r="W40" s="2"/>
      <c r="X40" s="2"/>
      <c r="Y40" s="2"/>
      <c r="Z40" s="2"/>
    </row>
    <row r="41" spans="1:26">
      <c r="A41" s="2"/>
      <c r="B41" s="2"/>
      <c r="C41" s="31"/>
      <c r="D41" s="2"/>
      <c r="E41" s="2"/>
      <c r="F41" s="2"/>
      <c r="G41" s="2"/>
      <c r="H41" s="2"/>
      <c r="I41" s="2"/>
      <c r="J41" s="2"/>
      <c r="K41" s="2"/>
      <c r="L41" s="2"/>
      <c r="M41" s="2"/>
      <c r="N41" s="2"/>
      <c r="O41" s="2"/>
      <c r="P41" s="2"/>
      <c r="Q41" s="2"/>
      <c r="R41" s="2"/>
      <c r="S41" s="2"/>
      <c r="T41" s="2"/>
      <c r="U41" s="2"/>
      <c r="V41" s="2"/>
      <c r="W41" s="2"/>
      <c r="X41" s="2"/>
      <c r="Y41" s="2"/>
      <c r="Z41" s="2"/>
    </row>
    <row r="42" spans="1:26">
      <c r="A42" s="2"/>
      <c r="B42" s="2"/>
      <c r="C42" s="31"/>
      <c r="D42" s="2"/>
      <c r="E42" s="2"/>
      <c r="F42" s="2"/>
      <c r="G42" s="2"/>
      <c r="H42" s="2"/>
      <c r="I42" s="2"/>
      <c r="J42" s="2"/>
      <c r="K42" s="2"/>
      <c r="L42" s="2"/>
      <c r="M42" s="2"/>
      <c r="N42" s="2"/>
      <c r="O42" s="2"/>
      <c r="P42" s="2"/>
      <c r="Q42" s="2"/>
      <c r="R42" s="2"/>
      <c r="S42" s="2"/>
      <c r="T42" s="2"/>
      <c r="U42" s="2"/>
      <c r="V42" s="2"/>
      <c r="W42" s="2"/>
      <c r="X42" s="2"/>
      <c r="Y42" s="2"/>
      <c r="Z42" s="2"/>
    </row>
    <row r="43" spans="1:26">
      <c r="A43" s="2"/>
      <c r="B43" s="2"/>
      <c r="C43" s="31"/>
      <c r="D43" s="2"/>
      <c r="E43" s="2"/>
      <c r="F43" s="2"/>
      <c r="G43" s="2"/>
      <c r="H43" s="2"/>
      <c r="I43" s="2"/>
      <c r="J43" s="2"/>
      <c r="K43" s="2"/>
      <c r="L43" s="2"/>
      <c r="M43" s="2"/>
      <c r="N43" s="2"/>
      <c r="O43" s="2"/>
      <c r="P43" s="2"/>
      <c r="Q43" s="2"/>
      <c r="R43" s="2"/>
      <c r="S43" s="2"/>
      <c r="T43" s="2"/>
      <c r="U43" s="2"/>
      <c r="V43" s="2"/>
      <c r="W43" s="2"/>
      <c r="X43" s="2"/>
      <c r="Y43" s="2"/>
      <c r="Z43" s="2"/>
    </row>
    <row r="44" spans="1:26">
      <c r="A44" s="2"/>
      <c r="B44" s="2"/>
      <c r="C44" s="31"/>
      <c r="D44" s="2"/>
      <c r="E44" s="2"/>
      <c r="F44" s="2"/>
      <c r="G44" s="2"/>
      <c r="H44" s="2"/>
      <c r="I44" s="2"/>
      <c r="J44" s="2"/>
      <c r="K44" s="2"/>
      <c r="L44" s="2"/>
      <c r="M44" s="2"/>
      <c r="N44" s="2"/>
      <c r="O44" s="2"/>
      <c r="P44" s="2"/>
      <c r="Q44" s="2"/>
      <c r="R44" s="2"/>
      <c r="S44" s="2"/>
      <c r="T44" s="2"/>
      <c r="U44" s="2"/>
      <c r="V44" s="2"/>
      <c r="W44" s="2"/>
      <c r="X44" s="2"/>
      <c r="Y44" s="2"/>
      <c r="Z44" s="2"/>
    </row>
    <row r="45" spans="1:26">
      <c r="A45" s="2"/>
      <c r="B45" s="2"/>
      <c r="C45" s="31"/>
      <c r="D45" s="2"/>
      <c r="E45" s="2"/>
      <c r="F45" s="2"/>
      <c r="G45" s="2"/>
      <c r="H45" s="2"/>
      <c r="I45" s="2"/>
      <c r="J45" s="2"/>
      <c r="K45" s="2"/>
      <c r="L45" s="2"/>
      <c r="M45" s="2"/>
      <c r="N45" s="2"/>
      <c r="O45" s="2"/>
      <c r="P45" s="2"/>
      <c r="Q45" s="2"/>
      <c r="R45" s="2"/>
      <c r="S45" s="2"/>
      <c r="T45" s="2"/>
      <c r="U45" s="2"/>
      <c r="V45" s="2"/>
      <c r="W45" s="2"/>
      <c r="X45" s="2"/>
      <c r="Y45" s="2"/>
      <c r="Z45" s="2"/>
    </row>
    <row r="46" spans="1:26">
      <c r="A46" s="2"/>
      <c r="B46" s="2"/>
      <c r="C46" s="31"/>
      <c r="D46" s="2"/>
      <c r="E46" s="2"/>
      <c r="F46" s="2"/>
      <c r="G46" s="2"/>
      <c r="H46" s="2"/>
      <c r="I46" s="2"/>
      <c r="J46" s="2"/>
      <c r="K46" s="2"/>
      <c r="L46" s="2"/>
      <c r="M46" s="2"/>
      <c r="N46" s="2"/>
      <c r="O46" s="2"/>
      <c r="P46" s="2"/>
      <c r="Q46" s="2"/>
      <c r="R46" s="2"/>
      <c r="S46" s="2"/>
      <c r="T46" s="2"/>
      <c r="U46" s="2"/>
      <c r="V46" s="2"/>
      <c r="W46" s="2"/>
      <c r="X46" s="2"/>
      <c r="Y46" s="2"/>
      <c r="Z46" s="2"/>
    </row>
    <row r="47" spans="1:26">
      <c r="A47" s="2"/>
      <c r="B47" s="2"/>
      <c r="C47" s="31"/>
      <c r="D47" s="2"/>
      <c r="E47" s="2"/>
      <c r="F47" s="2"/>
      <c r="G47" s="2"/>
      <c r="H47" s="2"/>
      <c r="I47" s="2"/>
      <c r="J47" s="2"/>
      <c r="K47" s="2"/>
      <c r="L47" s="2"/>
      <c r="M47" s="2"/>
      <c r="N47" s="2"/>
      <c r="O47" s="2"/>
      <c r="P47" s="2"/>
      <c r="Q47" s="2"/>
      <c r="R47" s="2"/>
      <c r="S47" s="2"/>
      <c r="T47" s="2"/>
      <c r="U47" s="2"/>
      <c r="V47" s="2"/>
      <c r="W47" s="2"/>
      <c r="X47" s="2"/>
      <c r="Y47" s="2"/>
      <c r="Z47" s="2"/>
    </row>
    <row r="48" spans="1:26">
      <c r="A48" s="2"/>
      <c r="B48" s="2"/>
      <c r="C48" s="31"/>
      <c r="D48" s="2"/>
      <c r="E48" s="2"/>
      <c r="F48" s="2"/>
      <c r="G48" s="2"/>
      <c r="H48" s="2"/>
      <c r="I48" s="2"/>
      <c r="J48" s="2"/>
      <c r="K48" s="2"/>
      <c r="L48" s="2"/>
      <c r="M48" s="2"/>
      <c r="N48" s="2"/>
      <c r="O48" s="2"/>
      <c r="P48" s="2"/>
      <c r="Q48" s="2"/>
      <c r="R48" s="2"/>
      <c r="S48" s="2"/>
      <c r="T48" s="2"/>
      <c r="U48" s="2"/>
      <c r="V48" s="2"/>
      <c r="W48" s="2"/>
      <c r="X48" s="2"/>
      <c r="Y48" s="2"/>
      <c r="Z48" s="2"/>
    </row>
    <row r="49" spans="1:26">
      <c r="A49" s="2"/>
      <c r="B49" s="2"/>
      <c r="C49" s="31"/>
      <c r="D49" s="2"/>
      <c r="E49" s="2"/>
      <c r="F49" s="2"/>
      <c r="G49" s="2"/>
      <c r="H49" s="2"/>
      <c r="I49" s="2"/>
      <c r="J49" s="2"/>
      <c r="K49" s="2"/>
      <c r="L49" s="2"/>
      <c r="M49" s="2"/>
      <c r="N49" s="2"/>
      <c r="O49" s="2"/>
      <c r="P49" s="2"/>
      <c r="Q49" s="2"/>
      <c r="R49" s="2"/>
      <c r="S49" s="2"/>
      <c r="T49" s="2"/>
      <c r="U49" s="2"/>
      <c r="V49" s="2"/>
      <c r="W49" s="2"/>
      <c r="X49" s="2"/>
      <c r="Y49" s="2"/>
      <c r="Z49" s="2"/>
    </row>
    <row r="50" spans="1:26">
      <c r="A50" s="2"/>
      <c r="B50" s="2"/>
      <c r="C50" s="31"/>
      <c r="D50" s="2"/>
      <c r="E50" s="2"/>
      <c r="F50" s="2"/>
      <c r="G50" s="2"/>
      <c r="H50" s="2"/>
      <c r="I50" s="2"/>
      <c r="J50" s="2"/>
      <c r="K50" s="2"/>
      <c r="L50" s="2"/>
      <c r="M50" s="2"/>
      <c r="N50" s="2"/>
      <c r="O50" s="2"/>
      <c r="P50" s="2"/>
      <c r="Q50" s="2"/>
      <c r="R50" s="2"/>
      <c r="S50" s="2"/>
      <c r="T50" s="2"/>
      <c r="U50" s="2"/>
      <c r="V50" s="2"/>
      <c r="W50" s="2"/>
      <c r="X50" s="2"/>
      <c r="Y50" s="2"/>
      <c r="Z50" s="2"/>
    </row>
    <row r="51" spans="1:26">
      <c r="A51" s="2"/>
      <c r="B51" s="2"/>
      <c r="C51" s="31"/>
      <c r="D51" s="2"/>
      <c r="E51" s="2"/>
      <c r="F51" s="2"/>
      <c r="G51" s="2"/>
      <c r="H51" s="2"/>
      <c r="I51" s="2"/>
      <c r="J51" s="2"/>
      <c r="K51" s="2"/>
      <c r="L51" s="2"/>
      <c r="M51" s="2"/>
      <c r="N51" s="2"/>
      <c r="O51" s="2"/>
      <c r="P51" s="2"/>
      <c r="Q51" s="2"/>
      <c r="R51" s="2"/>
      <c r="S51" s="2"/>
      <c r="T51" s="2"/>
      <c r="U51" s="2"/>
      <c r="V51" s="2"/>
      <c r="W51" s="2"/>
      <c r="X51" s="2"/>
      <c r="Y51" s="2"/>
      <c r="Z51" s="2"/>
    </row>
    <row r="52" spans="1:26">
      <c r="A52" s="2"/>
      <c r="B52" s="2"/>
      <c r="C52" s="31"/>
      <c r="D52" s="2"/>
      <c r="E52" s="2"/>
      <c r="F52" s="2"/>
      <c r="G52" s="2"/>
      <c r="H52" s="2"/>
      <c r="I52" s="2"/>
      <c r="J52" s="2"/>
      <c r="K52" s="2"/>
      <c r="L52" s="2"/>
      <c r="M52" s="2"/>
      <c r="N52" s="2"/>
      <c r="O52" s="2"/>
      <c r="P52" s="2"/>
      <c r="Q52" s="2"/>
      <c r="R52" s="2"/>
      <c r="S52" s="2"/>
      <c r="T52" s="2"/>
      <c r="U52" s="2"/>
      <c r="V52" s="2"/>
      <c r="W52" s="2"/>
      <c r="X52" s="2"/>
      <c r="Y52" s="2"/>
      <c r="Z52" s="2"/>
    </row>
    <row r="53" spans="1:26">
      <c r="A53" s="2"/>
      <c r="B53" s="2"/>
      <c r="C53" s="31"/>
      <c r="D53" s="2"/>
      <c r="E53" s="2"/>
      <c r="F53" s="2"/>
      <c r="G53" s="2"/>
      <c r="H53" s="2"/>
      <c r="I53" s="2"/>
      <c r="J53" s="2"/>
      <c r="K53" s="2"/>
      <c r="L53" s="2"/>
      <c r="M53" s="2"/>
      <c r="N53" s="2"/>
      <c r="O53" s="2"/>
      <c r="P53" s="2"/>
      <c r="Q53" s="2"/>
      <c r="R53" s="2"/>
      <c r="S53" s="2"/>
      <c r="T53" s="2"/>
      <c r="U53" s="2"/>
      <c r="V53" s="2"/>
      <c r="W53" s="2"/>
      <c r="X53" s="2"/>
      <c r="Y53" s="2"/>
      <c r="Z53" s="2"/>
    </row>
    <row r="54" spans="1:26">
      <c r="A54" s="2"/>
      <c r="B54" s="2"/>
      <c r="C54" s="31"/>
      <c r="D54" s="2"/>
      <c r="E54" s="2"/>
      <c r="F54" s="2"/>
      <c r="G54" s="2"/>
      <c r="H54" s="2"/>
      <c r="I54" s="2"/>
      <c r="J54" s="2"/>
      <c r="K54" s="2"/>
      <c r="L54" s="2"/>
      <c r="M54" s="2"/>
      <c r="N54" s="2"/>
      <c r="O54" s="2"/>
      <c r="P54" s="2"/>
      <c r="Q54" s="2"/>
      <c r="R54" s="2"/>
      <c r="S54" s="2"/>
      <c r="T54" s="2"/>
      <c r="U54" s="2"/>
      <c r="V54" s="2"/>
      <c r="W54" s="2"/>
      <c r="X54" s="2"/>
      <c r="Y54" s="2"/>
      <c r="Z54" s="2"/>
    </row>
    <row r="55" spans="1:26">
      <c r="A55" s="2"/>
      <c r="B55" s="2"/>
      <c r="C55" s="31"/>
      <c r="D55" s="2"/>
      <c r="E55" s="2"/>
      <c r="F55" s="2"/>
      <c r="G55" s="2"/>
      <c r="H55" s="2"/>
      <c r="I55" s="2"/>
      <c r="J55" s="2"/>
      <c r="K55" s="2"/>
      <c r="L55" s="2"/>
      <c r="M55" s="2"/>
      <c r="N55" s="2"/>
      <c r="O55" s="2"/>
      <c r="P55" s="2"/>
      <c r="Q55" s="2"/>
      <c r="R55" s="2"/>
      <c r="S55" s="2"/>
      <c r="T55" s="2"/>
      <c r="U55" s="2"/>
      <c r="V55" s="2"/>
      <c r="W55" s="2"/>
      <c r="X55" s="2"/>
      <c r="Y55" s="2"/>
      <c r="Z55" s="2"/>
    </row>
    <row r="56" spans="1:26">
      <c r="A56" s="2"/>
      <c r="B56" s="2"/>
      <c r="C56" s="31"/>
      <c r="D56" s="2"/>
      <c r="E56" s="2"/>
      <c r="F56" s="2"/>
      <c r="G56" s="2"/>
      <c r="H56" s="2"/>
      <c r="I56" s="2"/>
      <c r="J56" s="2"/>
      <c r="K56" s="2"/>
      <c r="L56" s="2"/>
      <c r="M56" s="2"/>
      <c r="N56" s="2"/>
      <c r="O56" s="2"/>
      <c r="P56" s="2"/>
      <c r="Q56" s="2"/>
      <c r="R56" s="2"/>
      <c r="S56" s="2"/>
      <c r="T56" s="2"/>
      <c r="U56" s="2"/>
      <c r="V56" s="2"/>
      <c r="W56" s="2"/>
      <c r="X56" s="2"/>
      <c r="Y56" s="2"/>
      <c r="Z56" s="2"/>
    </row>
    <row r="57" spans="1:26">
      <c r="A57" s="2"/>
      <c r="B57" s="2"/>
      <c r="C57" s="31"/>
      <c r="D57" s="2"/>
      <c r="E57" s="2"/>
      <c r="F57" s="2"/>
      <c r="G57" s="2"/>
      <c r="H57" s="2"/>
      <c r="I57" s="2"/>
      <c r="J57" s="2"/>
      <c r="K57" s="2"/>
      <c r="L57" s="2"/>
      <c r="M57" s="2"/>
      <c r="N57" s="2"/>
      <c r="O57" s="2"/>
      <c r="P57" s="2"/>
      <c r="Q57" s="2"/>
      <c r="R57" s="2"/>
      <c r="S57" s="2"/>
      <c r="T57" s="2"/>
      <c r="U57" s="2"/>
      <c r="V57" s="2"/>
      <c r="W57" s="2"/>
      <c r="X57" s="2"/>
      <c r="Y57" s="2"/>
      <c r="Z57" s="2"/>
    </row>
    <row r="58" spans="1:26">
      <c r="A58" s="2"/>
      <c r="B58" s="2"/>
      <c r="C58" s="31"/>
      <c r="D58" s="2"/>
      <c r="E58" s="2"/>
      <c r="F58" s="2"/>
      <c r="G58" s="2"/>
      <c r="H58" s="2"/>
      <c r="I58" s="2"/>
      <c r="J58" s="2"/>
      <c r="K58" s="2"/>
      <c r="L58" s="2"/>
      <c r="M58" s="2"/>
      <c r="N58" s="2"/>
      <c r="O58" s="2"/>
      <c r="P58" s="2"/>
      <c r="Q58" s="2"/>
      <c r="R58" s="2"/>
      <c r="S58" s="2"/>
      <c r="T58" s="2"/>
      <c r="U58" s="2"/>
      <c r="V58" s="2"/>
      <c r="W58" s="2"/>
      <c r="X58" s="2"/>
      <c r="Y58" s="2"/>
      <c r="Z58" s="2"/>
    </row>
    <row r="59" spans="1:26">
      <c r="A59" s="2"/>
      <c r="B59" s="2"/>
      <c r="C59" s="31"/>
      <c r="D59" s="2"/>
      <c r="E59" s="2"/>
      <c r="F59" s="2"/>
      <c r="G59" s="2"/>
      <c r="H59" s="2"/>
      <c r="I59" s="2"/>
      <c r="J59" s="2"/>
      <c r="K59" s="2"/>
      <c r="L59" s="2"/>
      <c r="M59" s="2"/>
      <c r="N59" s="2"/>
      <c r="O59" s="2"/>
      <c r="P59" s="2"/>
      <c r="Q59" s="2"/>
      <c r="R59" s="2"/>
      <c r="S59" s="2"/>
      <c r="T59" s="2"/>
      <c r="U59" s="2"/>
      <c r="V59" s="2"/>
      <c r="W59" s="2"/>
      <c r="X59" s="2"/>
      <c r="Y59" s="2"/>
      <c r="Z59" s="2"/>
    </row>
    <row r="60" spans="1:26">
      <c r="A60" s="2"/>
      <c r="B60" s="2"/>
      <c r="C60" s="31"/>
      <c r="D60" s="2"/>
      <c r="E60" s="2"/>
      <c r="F60" s="2"/>
      <c r="G60" s="2"/>
      <c r="H60" s="2"/>
      <c r="I60" s="2"/>
      <c r="J60" s="2"/>
      <c r="K60" s="2"/>
      <c r="L60" s="2"/>
      <c r="M60" s="2"/>
      <c r="N60" s="2"/>
      <c r="O60" s="2"/>
      <c r="P60" s="2"/>
      <c r="Q60" s="2"/>
      <c r="R60" s="2"/>
      <c r="S60" s="2"/>
      <c r="T60" s="2"/>
      <c r="U60" s="2"/>
      <c r="V60" s="2"/>
      <c r="W60" s="2"/>
      <c r="X60" s="2"/>
      <c r="Y60" s="2"/>
      <c r="Z60" s="2"/>
    </row>
  </sheetData>
  <mergeCells count="3">
    <mergeCell ref="B1:D2"/>
    <mergeCell ref="B13:E13"/>
    <mergeCell ref="B28:E28"/>
  </mergeCells>
  <pageMargins left="0.7" right="0.7" top="0.75" bottom="0.75" header="0.3" footer="0.3"/>
  <pageSetup paperSize="9"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A1:BG120"/>
  <sheetViews>
    <sheetView tabSelected="1" zoomScale="70" zoomScaleNormal="70" workbookViewId="0">
      <pane ySplit="2" topLeftCell="A15" activePane="bottomLeft" state="frozen"/>
      <selection activeCell="E7" sqref="E7"/>
      <selection pane="bottomLeft"/>
    </sheetView>
  </sheetViews>
  <sheetFormatPr defaultColWidth="11.42578125" defaultRowHeight="15" outlineLevelCol="1"/>
  <cols>
    <col min="1" max="1" width="2" style="121" customWidth="1"/>
    <col min="2" max="2" width="12.85546875" style="120" bestFit="1" customWidth="1"/>
    <col min="3" max="3" width="8.42578125" style="121" customWidth="1"/>
    <col min="4" max="4" width="39.42578125" style="121" bestFit="1" customWidth="1"/>
    <col min="5" max="5" width="24.42578125" style="121" customWidth="1"/>
    <col min="6" max="6" width="54.42578125" style="121" customWidth="1"/>
    <col min="7" max="7" width="10.7109375" style="121" customWidth="1"/>
    <col min="8" max="8" width="11.42578125" style="121" customWidth="1"/>
    <col min="9" max="14" width="11.42578125" style="122" customWidth="1"/>
    <col min="15" max="16" width="11.28515625" style="121" customWidth="1" outlineLevel="1"/>
    <col min="17" max="26" width="11.42578125" style="121" hidden="1" customWidth="1" outlineLevel="1"/>
    <col min="27" max="27" width="20.7109375" style="121" customWidth="1"/>
    <col min="28" max="29" width="34.7109375" style="123" customWidth="1"/>
    <col min="30" max="30" width="34.7109375" style="121" customWidth="1"/>
    <col min="31" max="31" width="10.42578125" style="124" customWidth="1"/>
    <col min="32" max="32" width="27" style="125" customWidth="1"/>
    <col min="33" max="43" width="11.42578125" style="121"/>
    <col min="44" max="46" width="10.42578125" style="126" hidden="1" customWidth="1"/>
    <col min="47" max="47" width="27" style="125" hidden="1" customWidth="1"/>
    <col min="48" max="16384" width="11.42578125" style="121"/>
  </cols>
  <sheetData>
    <row r="1" spans="1:59" ht="15.75" thickBot="1">
      <c r="A1" s="34"/>
      <c r="B1" s="58"/>
      <c r="C1" s="59"/>
      <c r="D1" s="60"/>
      <c r="E1" s="60"/>
      <c r="F1" s="60"/>
      <c r="G1" s="60"/>
      <c r="H1" s="60"/>
      <c r="I1" s="61"/>
      <c r="J1" s="61"/>
      <c r="K1" s="61"/>
      <c r="L1" s="61"/>
      <c r="M1" s="61"/>
      <c r="N1" s="61"/>
      <c r="O1" s="60"/>
      <c r="P1" s="60"/>
      <c r="Q1" s="60"/>
      <c r="R1" s="60"/>
      <c r="S1" s="60"/>
      <c r="T1" s="60"/>
      <c r="U1" s="60"/>
      <c r="V1" s="60"/>
      <c r="W1" s="60"/>
      <c r="X1" s="60"/>
      <c r="Y1" s="60"/>
      <c r="Z1" s="60"/>
      <c r="AA1" s="60"/>
      <c r="AB1" s="62"/>
      <c r="AC1" s="62"/>
      <c r="AD1" s="60"/>
      <c r="AE1" s="63"/>
      <c r="AF1" s="64"/>
      <c r="AG1" s="34"/>
      <c r="AH1" s="34"/>
      <c r="AI1" s="34"/>
      <c r="AJ1" s="34"/>
      <c r="AK1" s="34"/>
      <c r="AL1" s="34"/>
      <c r="AM1" s="34"/>
      <c r="AN1" s="34"/>
      <c r="AO1" s="34"/>
      <c r="AP1" s="34"/>
      <c r="AQ1" s="34"/>
      <c r="AR1" s="102"/>
      <c r="AS1" s="102"/>
      <c r="AT1" s="102"/>
      <c r="AU1" s="64"/>
      <c r="AV1" s="34"/>
      <c r="AW1" s="34"/>
      <c r="AX1" s="34"/>
      <c r="AY1" s="34"/>
      <c r="AZ1" s="34"/>
      <c r="BA1" s="34"/>
      <c r="BB1" s="34"/>
      <c r="BC1" s="34"/>
      <c r="BD1" s="34"/>
      <c r="BE1" s="34"/>
      <c r="BF1" s="34"/>
      <c r="BG1" s="34"/>
    </row>
    <row r="2" spans="1:59" ht="45.75" thickBot="1">
      <c r="A2" s="101"/>
      <c r="B2" s="51" t="s">
        <v>7</v>
      </c>
      <c r="C2" s="51" t="s">
        <v>0</v>
      </c>
      <c r="D2" s="52" t="s">
        <v>31</v>
      </c>
      <c r="E2" s="52" t="s">
        <v>8</v>
      </c>
      <c r="F2" s="52" t="s">
        <v>10</v>
      </c>
      <c r="G2" s="51" t="s">
        <v>256</v>
      </c>
      <c r="H2" s="53" t="s">
        <v>257</v>
      </c>
      <c r="I2" s="54" t="s">
        <v>258</v>
      </c>
      <c r="J2" s="55" t="s">
        <v>259</v>
      </c>
      <c r="K2" s="51" t="s">
        <v>260</v>
      </c>
      <c r="L2" s="53" t="s">
        <v>261</v>
      </c>
      <c r="M2" s="54" t="s">
        <v>262</v>
      </c>
      <c r="N2" s="55" t="s">
        <v>263</v>
      </c>
      <c r="O2" s="52" t="s">
        <v>508</v>
      </c>
      <c r="P2" s="52" t="s">
        <v>509</v>
      </c>
      <c r="Q2" s="52" t="s">
        <v>228</v>
      </c>
      <c r="R2" s="52" t="s">
        <v>229</v>
      </c>
      <c r="S2" s="52" t="s">
        <v>230</v>
      </c>
      <c r="T2" s="52" t="s">
        <v>231</v>
      </c>
      <c r="U2" s="52" t="s">
        <v>232</v>
      </c>
      <c r="V2" s="52" t="s">
        <v>233</v>
      </c>
      <c r="W2" s="52" t="s">
        <v>234</v>
      </c>
      <c r="X2" s="52" t="s">
        <v>235</v>
      </c>
      <c r="Y2" s="52" t="s">
        <v>226</v>
      </c>
      <c r="Z2" s="52" t="s">
        <v>227</v>
      </c>
      <c r="AA2" s="52" t="s">
        <v>9</v>
      </c>
      <c r="AB2" s="51" t="s">
        <v>30</v>
      </c>
      <c r="AC2" s="51" t="s">
        <v>223</v>
      </c>
      <c r="AD2" s="53" t="s">
        <v>93</v>
      </c>
      <c r="AE2" s="56" t="s">
        <v>24</v>
      </c>
      <c r="AF2" s="143" t="s">
        <v>3</v>
      </c>
      <c r="AG2" s="34"/>
      <c r="AH2" s="34"/>
      <c r="AI2" s="34"/>
      <c r="AJ2" s="34"/>
      <c r="AK2" s="34"/>
      <c r="AL2" s="34"/>
      <c r="AM2" s="34"/>
      <c r="AN2" s="34"/>
      <c r="AO2" s="34"/>
      <c r="AP2" s="34"/>
      <c r="AQ2" s="34"/>
      <c r="AR2" s="103" t="s">
        <v>147</v>
      </c>
      <c r="AS2" s="103" t="s">
        <v>148</v>
      </c>
      <c r="AT2" s="103" t="s">
        <v>24</v>
      </c>
      <c r="AU2" s="57" t="s">
        <v>3</v>
      </c>
      <c r="AV2" s="34"/>
      <c r="AW2" s="34"/>
      <c r="AX2" s="34"/>
      <c r="AY2" s="34"/>
      <c r="AZ2" s="34"/>
      <c r="BA2" s="34"/>
      <c r="BB2" s="34"/>
      <c r="BC2" s="34"/>
      <c r="BD2" s="34"/>
      <c r="BE2" s="34"/>
      <c r="BF2" s="34"/>
      <c r="BG2" s="34"/>
    </row>
    <row r="3" spans="1:59" ht="75">
      <c r="A3" s="100"/>
      <c r="B3" s="73" t="s">
        <v>250</v>
      </c>
      <c r="C3" s="77">
        <v>2</v>
      </c>
      <c r="D3" s="74" t="s">
        <v>71</v>
      </c>
      <c r="E3" s="74" t="s">
        <v>274</v>
      </c>
      <c r="F3" s="79" t="s">
        <v>275</v>
      </c>
      <c r="G3" s="75" t="s">
        <v>13</v>
      </c>
      <c r="H3" s="97" t="s">
        <v>4</v>
      </c>
      <c r="I3" s="75" t="s">
        <v>13</v>
      </c>
      <c r="J3" s="97" t="s">
        <v>4</v>
      </c>
      <c r="K3" s="75" t="s">
        <v>13</v>
      </c>
      <c r="L3" s="97" t="s">
        <v>4</v>
      </c>
      <c r="M3" s="75" t="s">
        <v>13</v>
      </c>
      <c r="N3" s="97" t="s">
        <v>4</v>
      </c>
      <c r="O3" s="75" t="s">
        <v>13</v>
      </c>
      <c r="P3" s="97" t="s">
        <v>4</v>
      </c>
      <c r="Q3" s="165"/>
      <c r="R3" s="165" t="s">
        <v>25</v>
      </c>
      <c r="S3" s="165"/>
      <c r="T3" s="165" t="s">
        <v>25</v>
      </c>
      <c r="U3" s="165"/>
      <c r="V3" s="165" t="s">
        <v>25</v>
      </c>
      <c r="W3" s="165"/>
      <c r="X3" s="165" t="s">
        <v>25</v>
      </c>
      <c r="Y3" s="165"/>
      <c r="Z3" s="165" t="s">
        <v>25</v>
      </c>
      <c r="AA3" s="76"/>
      <c r="AB3" s="98"/>
      <c r="AC3" s="163" t="s">
        <v>225</v>
      </c>
      <c r="AD3" s="98"/>
      <c r="AE3" s="78">
        <v>43271.73332175926</v>
      </c>
      <c r="AF3" s="144" t="s">
        <v>507</v>
      </c>
      <c r="AG3" s="34"/>
      <c r="AH3" s="34"/>
      <c r="AI3" s="34"/>
      <c r="AJ3" s="34"/>
      <c r="AK3" s="34"/>
      <c r="AL3" s="34"/>
      <c r="AM3" s="34"/>
      <c r="AN3" s="34"/>
      <c r="AO3" s="34"/>
      <c r="AP3" s="34"/>
      <c r="AQ3" s="34"/>
      <c r="AR3" s="104"/>
      <c r="AS3" s="104"/>
      <c r="AT3" s="104">
        <v>43271.73332175926</v>
      </c>
      <c r="AU3" s="76" t="s">
        <v>507</v>
      </c>
      <c r="AV3" s="34"/>
      <c r="AW3" s="34"/>
      <c r="AX3" s="34"/>
      <c r="AY3" s="34"/>
      <c r="AZ3" s="34"/>
      <c r="BA3" s="34"/>
      <c r="BB3" s="34"/>
      <c r="BC3" s="34"/>
      <c r="BD3" s="34"/>
      <c r="BE3" s="34"/>
      <c r="BF3" s="34"/>
      <c r="BG3" s="34"/>
    </row>
    <row r="4" spans="1:59" ht="45">
      <c r="A4" s="100"/>
      <c r="B4" s="73" t="s">
        <v>251</v>
      </c>
      <c r="C4" s="77">
        <v>2</v>
      </c>
      <c r="D4" s="74" t="s">
        <v>71</v>
      </c>
      <c r="E4" s="74" t="s">
        <v>276</v>
      </c>
      <c r="F4" s="173" t="s">
        <v>277</v>
      </c>
      <c r="G4" s="75" t="s">
        <v>13</v>
      </c>
      <c r="H4" s="97" t="s">
        <v>4</v>
      </c>
      <c r="I4" s="75" t="s">
        <v>13</v>
      </c>
      <c r="J4" s="97" t="s">
        <v>4</v>
      </c>
      <c r="K4" s="75" t="s">
        <v>13</v>
      </c>
      <c r="L4" s="97" t="s">
        <v>4</v>
      </c>
      <c r="M4" s="75" t="s">
        <v>13</v>
      </c>
      <c r="N4" s="97" t="s">
        <v>4</v>
      </c>
      <c r="O4" s="75" t="s">
        <v>13</v>
      </c>
      <c r="P4" s="97" t="s">
        <v>4</v>
      </c>
      <c r="Q4" s="165" t="s">
        <v>15</v>
      </c>
      <c r="R4" s="165" t="s">
        <v>178</v>
      </c>
      <c r="S4" s="165" t="s">
        <v>15</v>
      </c>
      <c r="T4" s="165" t="s">
        <v>178</v>
      </c>
      <c r="U4" s="165" t="s">
        <v>15</v>
      </c>
      <c r="V4" s="165" t="s">
        <v>178</v>
      </c>
      <c r="W4" s="165" t="s">
        <v>15</v>
      </c>
      <c r="X4" s="165" t="s">
        <v>178</v>
      </c>
      <c r="Y4" s="165" t="s">
        <v>15</v>
      </c>
      <c r="Z4" s="165" t="s">
        <v>178</v>
      </c>
      <c r="AA4" s="76"/>
      <c r="AB4" s="171"/>
      <c r="AC4" s="163" t="s">
        <v>225</v>
      </c>
      <c r="AD4" s="98"/>
      <c r="AE4" s="78">
        <v>43271.73332175926</v>
      </c>
      <c r="AF4" s="144" t="s">
        <v>507</v>
      </c>
      <c r="AG4" s="34"/>
      <c r="AH4" s="34"/>
      <c r="AI4" s="34"/>
      <c r="AJ4" s="34"/>
      <c r="AK4" s="34"/>
      <c r="AL4" s="34"/>
      <c r="AM4" s="34"/>
      <c r="AN4" s="34"/>
      <c r="AO4" s="34"/>
      <c r="AP4" s="34"/>
      <c r="AQ4" s="34"/>
      <c r="AR4" s="104"/>
      <c r="AS4" s="104"/>
      <c r="AT4" s="104">
        <v>43271.73332175926</v>
      </c>
      <c r="AU4" s="76" t="s">
        <v>507</v>
      </c>
      <c r="AV4" s="34"/>
      <c r="AW4" s="34"/>
      <c r="AX4" s="34"/>
      <c r="AY4" s="34"/>
      <c r="AZ4" s="34"/>
      <c r="BA4" s="34"/>
      <c r="BB4" s="34"/>
      <c r="BC4" s="34"/>
      <c r="BD4" s="34"/>
      <c r="BE4" s="34"/>
      <c r="BF4" s="34"/>
      <c r="BG4" s="34"/>
    </row>
    <row r="5" spans="1:59" ht="30">
      <c r="A5" s="100"/>
      <c r="B5" s="73" t="s">
        <v>252</v>
      </c>
      <c r="C5" s="77">
        <v>2</v>
      </c>
      <c r="D5" s="74" t="s">
        <v>71</v>
      </c>
      <c r="E5" s="74" t="s">
        <v>278</v>
      </c>
      <c r="F5" s="79" t="s">
        <v>279</v>
      </c>
      <c r="G5" s="75" t="s">
        <v>13</v>
      </c>
      <c r="H5" s="97" t="s">
        <v>4</v>
      </c>
      <c r="I5" s="75" t="s">
        <v>13</v>
      </c>
      <c r="J5" s="97" t="s">
        <v>4</v>
      </c>
      <c r="K5" s="75" t="s">
        <v>13</v>
      </c>
      <c r="L5" s="97" t="s">
        <v>4</v>
      </c>
      <c r="M5" s="75" t="s">
        <v>13</v>
      </c>
      <c r="N5" s="97" t="s">
        <v>4</v>
      </c>
      <c r="O5" s="75" t="s">
        <v>13</v>
      </c>
      <c r="P5" s="97" t="s">
        <v>4</v>
      </c>
      <c r="Q5" s="165"/>
      <c r="R5" s="165" t="s">
        <v>25</v>
      </c>
      <c r="S5" s="165"/>
      <c r="T5" s="165" t="s">
        <v>25</v>
      </c>
      <c r="U5" s="165"/>
      <c r="V5" s="165" t="s">
        <v>25</v>
      </c>
      <c r="W5" s="165"/>
      <c r="X5" s="165" t="s">
        <v>25</v>
      </c>
      <c r="Y5" s="165"/>
      <c r="Z5" s="165" t="s">
        <v>25</v>
      </c>
      <c r="AA5" s="76"/>
      <c r="AB5" s="98"/>
      <c r="AC5" s="163" t="s">
        <v>225</v>
      </c>
      <c r="AD5" s="98"/>
      <c r="AE5" s="78">
        <v>43271.73332175926</v>
      </c>
      <c r="AF5" s="144" t="s">
        <v>507</v>
      </c>
      <c r="AG5" s="34"/>
      <c r="AH5" s="34"/>
      <c r="AI5" s="34"/>
      <c r="AJ5" s="34"/>
      <c r="AK5" s="34"/>
      <c r="AL5" s="34"/>
      <c r="AM5" s="34"/>
      <c r="AN5" s="34"/>
      <c r="AO5" s="34"/>
      <c r="AP5" s="34"/>
      <c r="AQ5" s="34"/>
      <c r="AR5" s="104"/>
      <c r="AS5" s="104"/>
      <c r="AT5" s="104">
        <v>43271.73332175926</v>
      </c>
      <c r="AU5" s="76" t="s">
        <v>507</v>
      </c>
      <c r="AV5" s="34"/>
      <c r="AW5" s="34"/>
      <c r="AX5" s="34"/>
      <c r="AY5" s="34"/>
      <c r="AZ5" s="34"/>
      <c r="BA5" s="34"/>
      <c r="BB5" s="34"/>
      <c r="BC5" s="34"/>
      <c r="BD5" s="34"/>
      <c r="BE5" s="34"/>
      <c r="BF5" s="34"/>
      <c r="BG5" s="34"/>
    </row>
    <row r="6" spans="1:59" ht="45">
      <c r="A6" s="100"/>
      <c r="B6" s="145" t="s">
        <v>253</v>
      </c>
      <c r="C6" s="146">
        <v>2</v>
      </c>
      <c r="D6" s="147" t="s">
        <v>71</v>
      </c>
      <c r="E6" s="74" t="s">
        <v>280</v>
      </c>
      <c r="F6" s="148" t="s">
        <v>281</v>
      </c>
      <c r="G6" s="75" t="s">
        <v>13</v>
      </c>
      <c r="H6" s="97" t="s">
        <v>4</v>
      </c>
      <c r="I6" s="75" t="s">
        <v>13</v>
      </c>
      <c r="J6" s="97" t="s">
        <v>4</v>
      </c>
      <c r="K6" s="75" t="s">
        <v>13</v>
      </c>
      <c r="L6" s="97" t="s">
        <v>4</v>
      </c>
      <c r="M6" s="75" t="s">
        <v>15</v>
      </c>
      <c r="N6" s="97" t="s">
        <v>178</v>
      </c>
      <c r="O6" s="75" t="s">
        <v>15</v>
      </c>
      <c r="P6" s="97" t="s">
        <v>178</v>
      </c>
      <c r="Q6" s="165" t="s">
        <v>15</v>
      </c>
      <c r="R6" s="165" t="s">
        <v>178</v>
      </c>
      <c r="S6" s="165" t="s">
        <v>15</v>
      </c>
      <c r="T6" s="165" t="s">
        <v>178</v>
      </c>
      <c r="U6" s="165" t="s">
        <v>15</v>
      </c>
      <c r="V6" s="165" t="s">
        <v>178</v>
      </c>
      <c r="W6" s="165" t="s">
        <v>15</v>
      </c>
      <c r="X6" s="165" t="s">
        <v>178</v>
      </c>
      <c r="Y6" s="165" t="s">
        <v>15</v>
      </c>
      <c r="Z6" s="165" t="s">
        <v>178</v>
      </c>
      <c r="AA6" s="151"/>
      <c r="AB6" s="172"/>
      <c r="AC6" s="164" t="s">
        <v>225</v>
      </c>
      <c r="AD6" s="152"/>
      <c r="AE6" s="153">
        <v>43271.733680555553</v>
      </c>
      <c r="AF6" s="154" t="s">
        <v>507</v>
      </c>
      <c r="AG6" s="34"/>
      <c r="AH6" s="34"/>
      <c r="AI6" s="34"/>
      <c r="AJ6" s="34"/>
      <c r="AK6" s="34"/>
      <c r="AL6" s="34"/>
      <c r="AM6" s="34"/>
      <c r="AN6" s="34"/>
      <c r="AO6" s="34"/>
      <c r="AP6" s="34"/>
      <c r="AQ6" s="34"/>
      <c r="AR6" s="104"/>
      <c r="AS6" s="104"/>
      <c r="AT6" s="104">
        <v>43271.733680555553</v>
      </c>
      <c r="AU6" s="76" t="s">
        <v>507</v>
      </c>
      <c r="AV6" s="34"/>
      <c r="AW6" s="34"/>
      <c r="AX6" s="34"/>
      <c r="AY6" s="34"/>
      <c r="AZ6" s="34"/>
      <c r="BA6" s="34"/>
      <c r="BB6" s="34"/>
      <c r="BC6" s="34"/>
      <c r="BD6" s="34"/>
      <c r="BE6" s="34"/>
      <c r="BF6" s="34"/>
      <c r="BG6" s="34"/>
    </row>
    <row r="7" spans="1:59" ht="135">
      <c r="A7" s="100"/>
      <c r="B7" s="145" t="s">
        <v>254</v>
      </c>
      <c r="C7" s="146">
        <v>2</v>
      </c>
      <c r="D7" s="147" t="s">
        <v>71</v>
      </c>
      <c r="E7" s="147" t="s">
        <v>282</v>
      </c>
      <c r="F7" s="148" t="s">
        <v>283</v>
      </c>
      <c r="G7" s="75" t="s">
        <v>13</v>
      </c>
      <c r="H7" s="97" t="s">
        <v>4</v>
      </c>
      <c r="I7" s="75" t="s">
        <v>13</v>
      </c>
      <c r="J7" s="97" t="s">
        <v>4</v>
      </c>
      <c r="K7" s="75" t="s">
        <v>13</v>
      </c>
      <c r="L7" s="97" t="s">
        <v>4</v>
      </c>
      <c r="M7" s="75" t="s">
        <v>13</v>
      </c>
      <c r="N7" s="97" t="s">
        <v>4</v>
      </c>
      <c r="O7" s="75" t="s">
        <v>15</v>
      </c>
      <c r="P7" s="97" t="s">
        <v>178</v>
      </c>
      <c r="Q7" s="165" t="s">
        <v>15</v>
      </c>
      <c r="R7" s="165" t="s">
        <v>178</v>
      </c>
      <c r="S7" s="165" t="s">
        <v>15</v>
      </c>
      <c r="T7" s="165" t="s">
        <v>178</v>
      </c>
      <c r="U7" s="165" t="s">
        <v>15</v>
      </c>
      <c r="V7" s="165" t="s">
        <v>178</v>
      </c>
      <c r="W7" s="165" t="s">
        <v>15</v>
      </c>
      <c r="X7" s="165" t="s">
        <v>178</v>
      </c>
      <c r="Y7" s="165" t="s">
        <v>15</v>
      </c>
      <c r="Z7" s="165" t="s">
        <v>178</v>
      </c>
      <c r="AA7" s="151"/>
      <c r="AB7" s="152" t="s">
        <v>511</v>
      </c>
      <c r="AC7" s="164" t="s">
        <v>225</v>
      </c>
      <c r="AD7" s="152"/>
      <c r="AE7" s="153">
        <v>43283.681539351855</v>
      </c>
      <c r="AF7" s="154" t="s">
        <v>510</v>
      </c>
      <c r="AG7" s="34"/>
      <c r="AH7" s="34"/>
      <c r="AI7" s="34"/>
      <c r="AJ7" s="34"/>
      <c r="AK7" s="34"/>
      <c r="AL7" s="34"/>
      <c r="AM7" s="34"/>
      <c r="AN7" s="34"/>
      <c r="AO7" s="34"/>
      <c r="AP7" s="34"/>
      <c r="AQ7" s="34"/>
      <c r="AR7" s="104"/>
      <c r="AS7" s="104"/>
      <c r="AT7" s="104">
        <v>43283.681539351855</v>
      </c>
      <c r="AU7" s="76" t="s">
        <v>510</v>
      </c>
      <c r="AV7" s="34"/>
      <c r="AW7" s="34"/>
      <c r="AX7" s="34"/>
      <c r="AY7" s="34"/>
      <c r="AZ7" s="34"/>
      <c r="BA7" s="34"/>
      <c r="BB7" s="34"/>
      <c r="BC7" s="34"/>
      <c r="BD7" s="34"/>
      <c r="BE7" s="34"/>
      <c r="BF7" s="34"/>
      <c r="BG7" s="34"/>
    </row>
    <row r="8" spans="1:59" ht="105">
      <c r="A8" s="100"/>
      <c r="B8" s="145" t="s">
        <v>255</v>
      </c>
      <c r="C8" s="146">
        <v>2</v>
      </c>
      <c r="D8" s="147" t="s">
        <v>71</v>
      </c>
      <c r="E8" s="147" t="s">
        <v>284</v>
      </c>
      <c r="F8" s="148" t="s">
        <v>285</v>
      </c>
      <c r="G8" s="75" t="s">
        <v>13</v>
      </c>
      <c r="H8" s="97" t="s">
        <v>4</v>
      </c>
      <c r="I8" s="75" t="s">
        <v>13</v>
      </c>
      <c r="J8" s="97" t="s">
        <v>4</v>
      </c>
      <c r="K8" s="75" t="s">
        <v>13</v>
      </c>
      <c r="L8" s="97" t="s">
        <v>4</v>
      </c>
      <c r="M8" s="75" t="s">
        <v>13</v>
      </c>
      <c r="N8" s="97" t="s">
        <v>4</v>
      </c>
      <c r="O8" s="75" t="s">
        <v>13</v>
      </c>
      <c r="P8" s="97" t="s">
        <v>4</v>
      </c>
      <c r="Q8" s="165" t="s">
        <v>15</v>
      </c>
      <c r="R8" s="165" t="s">
        <v>178</v>
      </c>
      <c r="S8" s="165" t="s">
        <v>15</v>
      </c>
      <c r="T8" s="165" t="s">
        <v>178</v>
      </c>
      <c r="U8" s="165" t="s">
        <v>15</v>
      </c>
      <c r="V8" s="165" t="s">
        <v>178</v>
      </c>
      <c r="W8" s="165" t="s">
        <v>15</v>
      </c>
      <c r="X8" s="165" t="s">
        <v>178</v>
      </c>
      <c r="Y8" s="165" t="s">
        <v>15</v>
      </c>
      <c r="Z8" s="165" t="s">
        <v>178</v>
      </c>
      <c r="AA8" s="151"/>
      <c r="AB8" s="172"/>
      <c r="AC8" s="164" t="s">
        <v>225</v>
      </c>
      <c r="AD8" s="152"/>
      <c r="AE8" s="153">
        <v>43271.734189814815</v>
      </c>
      <c r="AF8" s="154" t="s">
        <v>507</v>
      </c>
      <c r="AG8" s="34"/>
      <c r="AH8" s="34"/>
      <c r="AI8" s="34"/>
      <c r="AJ8" s="34"/>
      <c r="AK8" s="34"/>
      <c r="AL8" s="34"/>
      <c r="AM8" s="34"/>
      <c r="AN8" s="34"/>
      <c r="AO8" s="34"/>
      <c r="AP8" s="34"/>
      <c r="AQ8" s="34"/>
      <c r="AR8" s="104"/>
      <c r="AS8" s="104"/>
      <c r="AT8" s="104">
        <v>43271.734189814815</v>
      </c>
      <c r="AU8" s="76" t="s">
        <v>507</v>
      </c>
      <c r="AV8" s="34"/>
      <c r="AW8" s="34"/>
      <c r="AX8" s="34"/>
      <c r="AY8" s="34"/>
      <c r="AZ8" s="34"/>
      <c r="BA8" s="34"/>
      <c r="BB8" s="34"/>
      <c r="BC8" s="34"/>
      <c r="BD8" s="34"/>
      <c r="BE8" s="34"/>
      <c r="BF8" s="34"/>
      <c r="BG8" s="34"/>
    </row>
    <row r="9" spans="1:59" ht="60">
      <c r="A9" s="100"/>
      <c r="B9" s="145" t="s">
        <v>331</v>
      </c>
      <c r="C9" s="146">
        <v>2</v>
      </c>
      <c r="D9" s="147" t="s">
        <v>71</v>
      </c>
      <c r="E9" s="74" t="s">
        <v>286</v>
      </c>
      <c r="F9" s="79" t="s">
        <v>287</v>
      </c>
      <c r="G9" s="75" t="s">
        <v>13</v>
      </c>
      <c r="H9" s="97" t="s">
        <v>4</v>
      </c>
      <c r="I9" s="75" t="s">
        <v>13</v>
      </c>
      <c r="J9" s="97" t="s">
        <v>4</v>
      </c>
      <c r="K9" s="75" t="s">
        <v>13</v>
      </c>
      <c r="L9" s="97" t="s">
        <v>4</v>
      </c>
      <c r="M9" s="75" t="s">
        <v>13</v>
      </c>
      <c r="N9" s="97" t="s">
        <v>4</v>
      </c>
      <c r="O9" s="75" t="s">
        <v>13</v>
      </c>
      <c r="P9" s="97" t="s">
        <v>4</v>
      </c>
      <c r="Q9" s="165" t="s">
        <v>15</v>
      </c>
      <c r="R9" s="165" t="s">
        <v>178</v>
      </c>
      <c r="S9" s="165" t="s">
        <v>15</v>
      </c>
      <c r="T9" s="165" t="s">
        <v>178</v>
      </c>
      <c r="U9" s="165" t="s">
        <v>15</v>
      </c>
      <c r="V9" s="165" t="s">
        <v>178</v>
      </c>
      <c r="W9" s="165" t="s">
        <v>15</v>
      </c>
      <c r="X9" s="165" t="s">
        <v>178</v>
      </c>
      <c r="Y9" s="165" t="s">
        <v>15</v>
      </c>
      <c r="Z9" s="165" t="s">
        <v>178</v>
      </c>
      <c r="AA9" s="151"/>
      <c r="AB9" s="152"/>
      <c r="AC9" s="164" t="s">
        <v>225</v>
      </c>
      <c r="AD9" s="152"/>
      <c r="AE9" s="153">
        <v>43271.734201388892</v>
      </c>
      <c r="AF9" s="154" t="s">
        <v>507</v>
      </c>
      <c r="AG9" s="34"/>
      <c r="AH9" s="34"/>
      <c r="AI9" s="34"/>
      <c r="AJ9" s="34"/>
      <c r="AK9" s="34"/>
      <c r="AL9" s="34"/>
      <c r="AM9" s="34"/>
      <c r="AN9" s="34"/>
      <c r="AO9" s="34"/>
      <c r="AP9" s="34"/>
      <c r="AQ9" s="34"/>
      <c r="AR9" s="104"/>
      <c r="AS9" s="104"/>
      <c r="AT9" s="104">
        <v>43271.734201388892</v>
      </c>
      <c r="AU9" s="76" t="s">
        <v>507</v>
      </c>
      <c r="AV9" s="34"/>
      <c r="AW9" s="34"/>
      <c r="AX9" s="34"/>
      <c r="AY9" s="34"/>
      <c r="AZ9" s="34"/>
      <c r="BA9" s="34"/>
      <c r="BB9" s="34"/>
      <c r="BC9" s="34"/>
      <c r="BD9" s="34"/>
      <c r="BE9" s="34"/>
      <c r="BF9" s="34"/>
      <c r="BG9" s="34"/>
    </row>
    <row r="10" spans="1:59" ht="90">
      <c r="A10" s="100"/>
      <c r="B10" s="145" t="s">
        <v>332</v>
      </c>
      <c r="C10" s="146">
        <v>2</v>
      </c>
      <c r="D10" s="147" t="s">
        <v>71</v>
      </c>
      <c r="E10" s="74" t="s">
        <v>288</v>
      </c>
      <c r="F10" s="79" t="s">
        <v>289</v>
      </c>
      <c r="G10" s="75" t="s">
        <v>13</v>
      </c>
      <c r="H10" s="97" t="s">
        <v>4</v>
      </c>
      <c r="I10" s="75" t="s">
        <v>13</v>
      </c>
      <c r="J10" s="97" t="s">
        <v>4</v>
      </c>
      <c r="K10" s="75" t="s">
        <v>13</v>
      </c>
      <c r="L10" s="97" t="s">
        <v>4</v>
      </c>
      <c r="M10" s="75" t="s">
        <v>15</v>
      </c>
      <c r="N10" s="97" t="s">
        <v>178</v>
      </c>
      <c r="O10" s="75" t="s">
        <v>13</v>
      </c>
      <c r="P10" s="97" t="s">
        <v>4</v>
      </c>
      <c r="Q10" s="165" t="s">
        <v>15</v>
      </c>
      <c r="R10" s="165" t="s">
        <v>178</v>
      </c>
      <c r="S10" s="165" t="s">
        <v>15</v>
      </c>
      <c r="T10" s="165" t="s">
        <v>178</v>
      </c>
      <c r="U10" s="165" t="s">
        <v>15</v>
      </c>
      <c r="V10" s="165" t="s">
        <v>178</v>
      </c>
      <c r="W10" s="165" t="s">
        <v>15</v>
      </c>
      <c r="X10" s="165" t="s">
        <v>178</v>
      </c>
      <c r="Y10" s="165" t="s">
        <v>15</v>
      </c>
      <c r="Z10" s="165" t="s">
        <v>178</v>
      </c>
      <c r="AA10" s="151"/>
      <c r="AB10" s="152"/>
      <c r="AC10" s="164" t="s">
        <v>225</v>
      </c>
      <c r="AD10" s="152"/>
      <c r="AE10" s="153">
        <v>43271.73332175926</v>
      </c>
      <c r="AF10" s="154" t="s">
        <v>507</v>
      </c>
      <c r="AG10" s="34"/>
      <c r="AH10" s="34"/>
      <c r="AI10" s="34"/>
      <c r="AJ10" s="34"/>
      <c r="AK10" s="34"/>
      <c r="AL10" s="34"/>
      <c r="AM10" s="34"/>
      <c r="AN10" s="34"/>
      <c r="AO10" s="34"/>
      <c r="AP10" s="34"/>
      <c r="AQ10" s="34"/>
      <c r="AR10" s="104"/>
      <c r="AS10" s="104"/>
      <c r="AT10" s="104">
        <v>43271.73332175926</v>
      </c>
      <c r="AU10" s="76" t="s">
        <v>507</v>
      </c>
      <c r="AV10" s="34"/>
      <c r="AW10" s="34"/>
      <c r="AX10" s="34"/>
      <c r="AY10" s="34"/>
      <c r="AZ10" s="34"/>
      <c r="BA10" s="34"/>
      <c r="BB10" s="34"/>
      <c r="BC10" s="34"/>
      <c r="BD10" s="34"/>
      <c r="BE10" s="34"/>
      <c r="BF10" s="34"/>
      <c r="BG10" s="34"/>
    </row>
    <row r="11" spans="1:59" ht="45">
      <c r="A11" s="100"/>
      <c r="B11" s="145" t="s">
        <v>333</v>
      </c>
      <c r="C11" s="146">
        <v>2</v>
      </c>
      <c r="D11" s="147" t="s">
        <v>71</v>
      </c>
      <c r="E11" s="147" t="s">
        <v>290</v>
      </c>
      <c r="F11" s="148" t="s">
        <v>291</v>
      </c>
      <c r="G11" s="75" t="s">
        <v>13</v>
      </c>
      <c r="H11" s="97" t="s">
        <v>4</v>
      </c>
      <c r="I11" s="75" t="s">
        <v>13</v>
      </c>
      <c r="J11" s="97" t="s">
        <v>4</v>
      </c>
      <c r="K11" s="75" t="s">
        <v>13</v>
      </c>
      <c r="L11" s="97" t="s">
        <v>4</v>
      </c>
      <c r="M11" s="75" t="s">
        <v>13</v>
      </c>
      <c r="N11" s="97" t="s">
        <v>4</v>
      </c>
      <c r="O11" s="75" t="s">
        <v>13</v>
      </c>
      <c r="P11" s="97" t="s">
        <v>4</v>
      </c>
      <c r="Q11" s="165" t="s">
        <v>15</v>
      </c>
      <c r="R11" s="165" t="s">
        <v>178</v>
      </c>
      <c r="S11" s="165" t="s">
        <v>15</v>
      </c>
      <c r="T11" s="165" t="s">
        <v>178</v>
      </c>
      <c r="U11" s="165" t="s">
        <v>15</v>
      </c>
      <c r="V11" s="165" t="s">
        <v>178</v>
      </c>
      <c r="W11" s="165" t="s">
        <v>15</v>
      </c>
      <c r="X11" s="165" t="s">
        <v>178</v>
      </c>
      <c r="Y11" s="165" t="s">
        <v>15</v>
      </c>
      <c r="Z11" s="165" t="s">
        <v>178</v>
      </c>
      <c r="AA11" s="151"/>
      <c r="AB11" s="152"/>
      <c r="AC11" s="164" t="s">
        <v>225</v>
      </c>
      <c r="AD11" s="152"/>
      <c r="AE11" s="153">
        <v>43271.73332175926</v>
      </c>
      <c r="AF11" s="154" t="s">
        <v>507</v>
      </c>
      <c r="AG11" s="34"/>
      <c r="AH11" s="34"/>
      <c r="AI11" s="34"/>
      <c r="AJ11" s="34"/>
      <c r="AK11" s="34"/>
      <c r="AL11" s="34"/>
      <c r="AM11" s="34"/>
      <c r="AN11" s="34"/>
      <c r="AO11" s="34"/>
      <c r="AP11" s="34"/>
      <c r="AQ11" s="34"/>
      <c r="AR11" s="104"/>
      <c r="AS11" s="104"/>
      <c r="AT11" s="104">
        <v>43271.73332175926</v>
      </c>
      <c r="AU11" s="76" t="s">
        <v>507</v>
      </c>
      <c r="AV11" s="34"/>
      <c r="AW11" s="34"/>
      <c r="AX11" s="34"/>
      <c r="AY11" s="34"/>
      <c r="AZ11" s="34"/>
      <c r="BA11" s="34"/>
      <c r="BB11" s="34"/>
      <c r="BC11" s="34"/>
      <c r="BD11" s="34"/>
      <c r="BE11" s="34"/>
      <c r="BF11" s="34"/>
      <c r="BG11" s="34"/>
    </row>
    <row r="12" spans="1:59" ht="30">
      <c r="A12" s="100"/>
      <c r="B12" s="145" t="s">
        <v>334</v>
      </c>
      <c r="C12" s="146">
        <v>2</v>
      </c>
      <c r="D12" s="147" t="s">
        <v>71</v>
      </c>
      <c r="E12" s="147" t="s">
        <v>292</v>
      </c>
      <c r="F12" s="148" t="s">
        <v>293</v>
      </c>
      <c r="G12" s="75" t="s">
        <v>13</v>
      </c>
      <c r="H12" s="97" t="s">
        <v>4</v>
      </c>
      <c r="I12" s="75" t="s">
        <v>13</v>
      </c>
      <c r="J12" s="97" t="s">
        <v>4</v>
      </c>
      <c r="K12" s="75" t="s">
        <v>13</v>
      </c>
      <c r="L12" s="97" t="s">
        <v>4</v>
      </c>
      <c r="M12" s="75" t="s">
        <v>13</v>
      </c>
      <c r="N12" s="97" t="s">
        <v>4</v>
      </c>
      <c r="O12" s="75" t="s">
        <v>13</v>
      </c>
      <c r="P12" s="97" t="s">
        <v>4</v>
      </c>
      <c r="Q12" s="165" t="s">
        <v>15</v>
      </c>
      <c r="R12" s="165" t="s">
        <v>178</v>
      </c>
      <c r="S12" s="165" t="s">
        <v>15</v>
      </c>
      <c r="T12" s="165" t="s">
        <v>178</v>
      </c>
      <c r="U12" s="165" t="s">
        <v>15</v>
      </c>
      <c r="V12" s="165" t="s">
        <v>178</v>
      </c>
      <c r="W12" s="165" t="s">
        <v>15</v>
      </c>
      <c r="X12" s="165" t="s">
        <v>178</v>
      </c>
      <c r="Y12" s="165" t="s">
        <v>15</v>
      </c>
      <c r="Z12" s="165" t="s">
        <v>178</v>
      </c>
      <c r="AA12" s="151"/>
      <c r="AB12" s="152"/>
      <c r="AC12" s="164" t="s">
        <v>225</v>
      </c>
      <c r="AD12" s="152"/>
      <c r="AE12" s="153">
        <v>43271.73332175926</v>
      </c>
      <c r="AF12" s="154" t="s">
        <v>507</v>
      </c>
      <c r="AG12" s="34"/>
      <c r="AH12" s="34"/>
      <c r="AI12" s="34"/>
      <c r="AJ12" s="34"/>
      <c r="AK12" s="34"/>
      <c r="AL12" s="34"/>
      <c r="AM12" s="34"/>
      <c r="AN12" s="34"/>
      <c r="AO12" s="34"/>
      <c r="AP12" s="34"/>
      <c r="AQ12" s="34"/>
      <c r="AR12" s="104"/>
      <c r="AS12" s="104"/>
      <c r="AT12" s="104">
        <v>43271.73332175926</v>
      </c>
      <c r="AU12" s="76" t="s">
        <v>507</v>
      </c>
      <c r="AV12" s="34"/>
      <c r="AW12" s="34"/>
      <c r="AX12" s="34"/>
      <c r="AY12" s="34"/>
      <c r="AZ12" s="34"/>
      <c r="BA12" s="34"/>
      <c r="BB12" s="34"/>
      <c r="BC12" s="34"/>
      <c r="BD12" s="34"/>
      <c r="BE12" s="34"/>
      <c r="BF12" s="34"/>
      <c r="BG12" s="34"/>
    </row>
    <row r="13" spans="1:59" ht="104.25">
      <c r="A13" s="100"/>
      <c r="B13" s="145" t="s">
        <v>335</v>
      </c>
      <c r="C13" s="146">
        <v>4</v>
      </c>
      <c r="D13" s="147" t="s">
        <v>71</v>
      </c>
      <c r="E13" s="147" t="s">
        <v>421</v>
      </c>
      <c r="F13" s="148" t="s">
        <v>422</v>
      </c>
      <c r="G13" s="75" t="s">
        <v>14</v>
      </c>
      <c r="H13" s="97" t="s">
        <v>5</v>
      </c>
      <c r="I13" s="75" t="s">
        <v>14</v>
      </c>
      <c r="J13" s="97" t="s">
        <v>5</v>
      </c>
      <c r="K13" s="75" t="s">
        <v>14</v>
      </c>
      <c r="L13" s="97" t="s">
        <v>5</v>
      </c>
      <c r="M13" s="75" t="s">
        <v>15</v>
      </c>
      <c r="N13" s="97" t="s">
        <v>178</v>
      </c>
      <c r="O13" s="149" t="s">
        <v>15</v>
      </c>
      <c r="P13" s="150" t="s">
        <v>178</v>
      </c>
      <c r="Q13" s="165"/>
      <c r="R13" s="165" t="s">
        <v>25</v>
      </c>
      <c r="S13" s="165"/>
      <c r="T13" s="165" t="s">
        <v>25</v>
      </c>
      <c r="U13" s="165"/>
      <c r="V13" s="165" t="s">
        <v>25</v>
      </c>
      <c r="W13" s="165"/>
      <c r="X13" s="165" t="s">
        <v>25</v>
      </c>
      <c r="Y13" s="165"/>
      <c r="Z13" s="165" t="s">
        <v>25</v>
      </c>
      <c r="AA13" s="151" t="s">
        <v>380</v>
      </c>
      <c r="AB13" s="152" t="s">
        <v>512</v>
      </c>
      <c r="AC13" s="164" t="s">
        <v>225</v>
      </c>
      <c r="AD13" s="152"/>
      <c r="AE13" s="153">
        <v>43283.700428240743</v>
      </c>
      <c r="AF13" s="154" t="s">
        <v>507</v>
      </c>
      <c r="AG13" s="34"/>
      <c r="AH13" s="34"/>
      <c r="AI13" s="34"/>
      <c r="AJ13" s="34"/>
      <c r="AK13" s="34"/>
      <c r="AL13" s="34"/>
      <c r="AM13" s="34"/>
      <c r="AN13" s="34"/>
      <c r="AO13" s="34"/>
      <c r="AP13" s="34"/>
      <c r="AQ13" s="34"/>
      <c r="AR13" s="104"/>
      <c r="AS13" s="104"/>
      <c r="AT13" s="104">
        <v>43283.700428240743</v>
      </c>
      <c r="AU13" s="76" t="s">
        <v>507</v>
      </c>
      <c r="AV13" s="34"/>
      <c r="AW13" s="34"/>
      <c r="AX13" s="34"/>
      <c r="AY13" s="34"/>
      <c r="AZ13" s="34"/>
      <c r="BA13" s="34"/>
      <c r="BB13" s="34"/>
      <c r="BC13" s="34"/>
      <c r="BD13" s="34"/>
      <c r="BE13" s="34"/>
      <c r="BF13" s="34"/>
      <c r="BG13" s="34"/>
    </row>
    <row r="14" spans="1:59" ht="60">
      <c r="A14" s="100"/>
      <c r="B14" s="145" t="s">
        <v>336</v>
      </c>
      <c r="C14" s="146">
        <v>2</v>
      </c>
      <c r="D14" s="147" t="s">
        <v>71</v>
      </c>
      <c r="E14" s="147" t="s">
        <v>400</v>
      </c>
      <c r="F14" s="148" t="s">
        <v>294</v>
      </c>
      <c r="G14" s="75" t="s">
        <v>13</v>
      </c>
      <c r="H14" s="97" t="s">
        <v>4</v>
      </c>
      <c r="I14" s="75" t="s">
        <v>13</v>
      </c>
      <c r="J14" s="97" t="s">
        <v>4</v>
      </c>
      <c r="K14" s="75" t="s">
        <v>13</v>
      </c>
      <c r="L14" s="97" t="s">
        <v>4</v>
      </c>
      <c r="M14" s="75" t="s">
        <v>13</v>
      </c>
      <c r="N14" s="97" t="s">
        <v>4</v>
      </c>
      <c r="O14" s="75" t="s">
        <v>13</v>
      </c>
      <c r="P14" s="97" t="s">
        <v>4</v>
      </c>
      <c r="Q14" s="166" t="s">
        <v>15</v>
      </c>
      <c r="R14" s="166" t="s">
        <v>178</v>
      </c>
      <c r="S14" s="166" t="s">
        <v>15</v>
      </c>
      <c r="T14" s="166" t="s">
        <v>178</v>
      </c>
      <c r="U14" s="166" t="s">
        <v>15</v>
      </c>
      <c r="V14" s="166" t="s">
        <v>178</v>
      </c>
      <c r="W14" s="166" t="s">
        <v>15</v>
      </c>
      <c r="X14" s="166" t="s">
        <v>178</v>
      </c>
      <c r="Y14" s="166" t="s">
        <v>15</v>
      </c>
      <c r="Z14" s="166" t="s">
        <v>178</v>
      </c>
      <c r="AA14" s="151"/>
      <c r="AB14" s="152"/>
      <c r="AC14" s="164" t="s">
        <v>225</v>
      </c>
      <c r="AD14" s="152"/>
      <c r="AE14" s="153">
        <v>43271.73332175926</v>
      </c>
      <c r="AF14" s="154" t="s">
        <v>507</v>
      </c>
      <c r="AG14" s="34"/>
      <c r="AH14" s="34"/>
      <c r="AI14" s="34"/>
      <c r="AJ14" s="34"/>
      <c r="AK14" s="34"/>
      <c r="AL14" s="34"/>
      <c r="AM14" s="34"/>
      <c r="AN14" s="34"/>
      <c r="AO14" s="34"/>
      <c r="AP14" s="34"/>
      <c r="AQ14" s="34"/>
      <c r="AR14" s="104"/>
      <c r="AS14" s="104"/>
      <c r="AT14" s="104">
        <v>43271.73332175926</v>
      </c>
      <c r="AU14" s="76" t="s">
        <v>507</v>
      </c>
      <c r="AV14" s="34"/>
      <c r="AW14" s="34"/>
      <c r="AX14" s="34"/>
      <c r="AY14" s="34"/>
      <c r="AZ14" s="34"/>
      <c r="BA14" s="34"/>
      <c r="BB14" s="34"/>
      <c r="BC14" s="34"/>
      <c r="BD14" s="34"/>
      <c r="BE14" s="34"/>
      <c r="BF14" s="34"/>
      <c r="BG14" s="34"/>
    </row>
    <row r="15" spans="1:59" ht="409.5">
      <c r="A15" s="100"/>
      <c r="B15" s="145" t="s">
        <v>337</v>
      </c>
      <c r="C15" s="146">
        <v>6</v>
      </c>
      <c r="D15" s="147" t="s">
        <v>71</v>
      </c>
      <c r="E15" s="147" t="s">
        <v>401</v>
      </c>
      <c r="F15" s="148" t="s">
        <v>500</v>
      </c>
      <c r="G15" s="149" t="s">
        <v>13</v>
      </c>
      <c r="H15" s="150" t="s">
        <v>4</v>
      </c>
      <c r="I15" s="149" t="s">
        <v>13</v>
      </c>
      <c r="J15" s="150" t="s">
        <v>4</v>
      </c>
      <c r="K15" s="149" t="s">
        <v>13</v>
      </c>
      <c r="L15" s="150" t="s">
        <v>4</v>
      </c>
      <c r="M15" s="149" t="s">
        <v>13</v>
      </c>
      <c r="N15" s="150" t="s">
        <v>4</v>
      </c>
      <c r="O15" s="75" t="s">
        <v>14</v>
      </c>
      <c r="P15" s="97" t="s">
        <v>5</v>
      </c>
      <c r="Q15" s="166" t="s">
        <v>15</v>
      </c>
      <c r="R15" s="166" t="s">
        <v>178</v>
      </c>
      <c r="S15" s="166" t="s">
        <v>15</v>
      </c>
      <c r="T15" s="166" t="s">
        <v>178</v>
      </c>
      <c r="U15" s="166" t="s">
        <v>15</v>
      </c>
      <c r="V15" s="166" t="s">
        <v>178</v>
      </c>
      <c r="W15" s="166" t="s">
        <v>15</v>
      </c>
      <c r="X15" s="166" t="s">
        <v>178</v>
      </c>
      <c r="Y15" s="166" t="s">
        <v>15</v>
      </c>
      <c r="Z15" s="166" t="s">
        <v>178</v>
      </c>
      <c r="AA15" s="151"/>
      <c r="AB15" s="152" t="s">
        <v>513</v>
      </c>
      <c r="AC15" s="164" t="s">
        <v>225</v>
      </c>
      <c r="AD15" s="152"/>
      <c r="AE15" s="153">
        <v>43283.698587962965</v>
      </c>
      <c r="AF15" s="154" t="s">
        <v>507</v>
      </c>
      <c r="AG15" s="34"/>
      <c r="AH15" s="34"/>
      <c r="AI15" s="34"/>
      <c r="AJ15" s="34"/>
      <c r="AK15" s="34"/>
      <c r="AL15" s="34"/>
      <c r="AM15" s="34"/>
      <c r="AN15" s="34"/>
      <c r="AO15" s="34"/>
      <c r="AP15" s="34"/>
      <c r="AQ15" s="34"/>
      <c r="AR15" s="104"/>
      <c r="AS15" s="104"/>
      <c r="AT15" s="104">
        <v>43283.698587962965</v>
      </c>
      <c r="AU15" s="76" t="s">
        <v>507</v>
      </c>
      <c r="AV15" s="34"/>
      <c r="AW15" s="34"/>
      <c r="AX15" s="34"/>
      <c r="AY15" s="34"/>
      <c r="AZ15" s="34"/>
      <c r="BA15" s="34"/>
      <c r="BB15" s="34"/>
      <c r="BC15" s="34"/>
      <c r="BD15" s="34"/>
      <c r="BE15" s="34"/>
      <c r="BF15" s="34"/>
      <c r="BG15" s="34"/>
    </row>
    <row r="16" spans="1:59" ht="90">
      <c r="A16" s="100"/>
      <c r="B16" s="145" t="s">
        <v>338</v>
      </c>
      <c r="C16" s="146">
        <v>3</v>
      </c>
      <c r="D16" s="147" t="s">
        <v>71</v>
      </c>
      <c r="E16" s="147" t="s">
        <v>401</v>
      </c>
      <c r="F16" s="148" t="s">
        <v>503</v>
      </c>
      <c r="G16" s="149" t="s">
        <v>14</v>
      </c>
      <c r="H16" s="150" t="s">
        <v>5</v>
      </c>
      <c r="I16" s="149" t="s">
        <v>14</v>
      </c>
      <c r="J16" s="150" t="s">
        <v>5</v>
      </c>
      <c r="K16" s="149" t="s">
        <v>14</v>
      </c>
      <c r="L16" s="150" t="s">
        <v>5</v>
      </c>
      <c r="M16" s="149" t="s">
        <v>14</v>
      </c>
      <c r="N16" s="150" t="s">
        <v>5</v>
      </c>
      <c r="O16" s="149" t="s">
        <v>14</v>
      </c>
      <c r="P16" s="150" t="s">
        <v>5</v>
      </c>
      <c r="Q16" s="166"/>
      <c r="R16" s="166" t="s">
        <v>25</v>
      </c>
      <c r="S16" s="166"/>
      <c r="T16" s="166" t="s">
        <v>25</v>
      </c>
      <c r="U16" s="166"/>
      <c r="V16" s="166" t="s">
        <v>25</v>
      </c>
      <c r="W16" s="166"/>
      <c r="X16" s="166" t="s">
        <v>25</v>
      </c>
      <c r="Y16" s="166"/>
      <c r="Z16" s="166" t="s">
        <v>25</v>
      </c>
      <c r="AA16" s="151"/>
      <c r="AB16" s="152"/>
      <c r="AC16" s="164" t="s">
        <v>225</v>
      </c>
      <c r="AD16" s="152"/>
      <c r="AE16" s="153">
        <v>43271.73332175926</v>
      </c>
      <c r="AF16" s="154" t="s">
        <v>507</v>
      </c>
      <c r="AG16" s="34"/>
      <c r="AH16" s="34"/>
      <c r="AI16" s="34"/>
      <c r="AJ16" s="34"/>
      <c r="AK16" s="34"/>
      <c r="AL16" s="34"/>
      <c r="AM16" s="34"/>
      <c r="AN16" s="34"/>
      <c r="AO16" s="34"/>
      <c r="AP16" s="34"/>
      <c r="AQ16" s="34"/>
      <c r="AR16" s="104"/>
      <c r="AS16" s="104"/>
      <c r="AT16" s="104">
        <v>43271.73332175926</v>
      </c>
      <c r="AU16" s="76" t="s">
        <v>507</v>
      </c>
      <c r="AV16" s="34"/>
      <c r="AW16" s="34"/>
      <c r="AX16" s="34"/>
      <c r="AY16" s="34"/>
      <c r="AZ16" s="34"/>
      <c r="BA16" s="34"/>
      <c r="BB16" s="34"/>
      <c r="BC16" s="34"/>
      <c r="BD16" s="34"/>
      <c r="BE16" s="34"/>
      <c r="BF16" s="34"/>
      <c r="BG16" s="34"/>
    </row>
    <row r="17" spans="1:59" ht="45">
      <c r="A17" s="100"/>
      <c r="B17" s="145" t="s">
        <v>339</v>
      </c>
      <c r="C17" s="146">
        <v>3</v>
      </c>
      <c r="D17" s="147" t="s">
        <v>71</v>
      </c>
      <c r="E17" s="147" t="s">
        <v>505</v>
      </c>
      <c r="F17" s="148" t="s">
        <v>502</v>
      </c>
      <c r="G17" s="149" t="s">
        <v>13</v>
      </c>
      <c r="H17" s="150" t="s">
        <v>4</v>
      </c>
      <c r="I17" s="149" t="s">
        <v>13</v>
      </c>
      <c r="J17" s="150" t="s">
        <v>4</v>
      </c>
      <c r="K17" s="149" t="s">
        <v>13</v>
      </c>
      <c r="L17" s="150" t="s">
        <v>4</v>
      </c>
      <c r="M17" s="149" t="s">
        <v>13</v>
      </c>
      <c r="N17" s="150" t="s">
        <v>4</v>
      </c>
      <c r="O17" s="149" t="s">
        <v>15</v>
      </c>
      <c r="P17" s="150" t="s">
        <v>178</v>
      </c>
      <c r="Q17" s="166"/>
      <c r="R17" s="166" t="s">
        <v>25</v>
      </c>
      <c r="S17" s="166"/>
      <c r="T17" s="166" t="s">
        <v>25</v>
      </c>
      <c r="U17" s="166"/>
      <c r="V17" s="166" t="s">
        <v>25</v>
      </c>
      <c r="W17" s="166"/>
      <c r="X17" s="166" t="s">
        <v>25</v>
      </c>
      <c r="Y17" s="166"/>
      <c r="Z17" s="166" t="s">
        <v>25</v>
      </c>
      <c r="AA17" s="151"/>
      <c r="AB17" s="152" t="s">
        <v>514</v>
      </c>
      <c r="AC17" s="164" t="s">
        <v>225</v>
      </c>
      <c r="AD17" s="152"/>
      <c r="AE17" s="153">
        <v>43283.700543981482</v>
      </c>
      <c r="AF17" s="154" t="s">
        <v>507</v>
      </c>
      <c r="AG17" s="34"/>
      <c r="AH17" s="34"/>
      <c r="AI17" s="34"/>
      <c r="AJ17" s="34"/>
      <c r="AK17" s="34"/>
      <c r="AL17" s="34"/>
      <c r="AM17" s="34"/>
      <c r="AN17" s="34"/>
      <c r="AO17" s="34"/>
      <c r="AP17" s="34"/>
      <c r="AQ17" s="34"/>
      <c r="AR17" s="104"/>
      <c r="AS17" s="104"/>
      <c r="AT17" s="104">
        <v>43283.700543981482</v>
      </c>
      <c r="AU17" s="76" t="s">
        <v>507</v>
      </c>
      <c r="AV17" s="34"/>
      <c r="AW17" s="34"/>
      <c r="AX17" s="34"/>
      <c r="AY17" s="34"/>
      <c r="AZ17" s="34"/>
      <c r="BA17" s="34"/>
      <c r="BB17" s="34"/>
      <c r="BC17" s="34"/>
      <c r="BD17" s="34"/>
      <c r="BE17" s="34"/>
      <c r="BF17" s="34"/>
      <c r="BG17" s="34"/>
    </row>
    <row r="18" spans="1:59" ht="75">
      <c r="A18" s="100"/>
      <c r="B18" s="145" t="s">
        <v>340</v>
      </c>
      <c r="C18" s="146">
        <v>5</v>
      </c>
      <c r="D18" s="147" t="s">
        <v>71</v>
      </c>
      <c r="E18" s="147" t="s">
        <v>402</v>
      </c>
      <c r="F18" s="148" t="s">
        <v>456</v>
      </c>
      <c r="G18" s="149" t="s">
        <v>14</v>
      </c>
      <c r="H18" s="150" t="s">
        <v>5</v>
      </c>
      <c r="I18" s="149" t="s">
        <v>14</v>
      </c>
      <c r="J18" s="150" t="s">
        <v>5</v>
      </c>
      <c r="K18" s="149" t="s">
        <v>14</v>
      </c>
      <c r="L18" s="150" t="s">
        <v>5</v>
      </c>
      <c r="M18" s="149" t="s">
        <v>14</v>
      </c>
      <c r="N18" s="150" t="s">
        <v>5</v>
      </c>
      <c r="O18" s="149" t="s">
        <v>14</v>
      </c>
      <c r="P18" s="150" t="s">
        <v>5</v>
      </c>
      <c r="Q18" s="166" t="s">
        <v>15</v>
      </c>
      <c r="R18" s="166" t="s">
        <v>178</v>
      </c>
      <c r="S18" s="166" t="s">
        <v>15</v>
      </c>
      <c r="T18" s="166" t="s">
        <v>178</v>
      </c>
      <c r="U18" s="166" t="s">
        <v>15</v>
      </c>
      <c r="V18" s="166" t="s">
        <v>178</v>
      </c>
      <c r="W18" s="166" t="s">
        <v>15</v>
      </c>
      <c r="X18" s="166" t="s">
        <v>178</v>
      </c>
      <c r="Y18" s="166" t="s">
        <v>15</v>
      </c>
      <c r="Z18" s="166" t="s">
        <v>178</v>
      </c>
      <c r="AA18" s="151"/>
      <c r="AB18" s="152"/>
      <c r="AC18" s="164" t="s">
        <v>225</v>
      </c>
      <c r="AD18" s="152"/>
      <c r="AE18" s="153">
        <v>43271.73332175926</v>
      </c>
      <c r="AF18" s="154" t="s">
        <v>507</v>
      </c>
      <c r="AG18" s="34"/>
      <c r="AH18" s="34"/>
      <c r="AI18" s="34"/>
      <c r="AJ18" s="34"/>
      <c r="AK18" s="34"/>
      <c r="AL18" s="34"/>
      <c r="AM18" s="34"/>
      <c r="AN18" s="34"/>
      <c r="AO18" s="34"/>
      <c r="AP18" s="34"/>
      <c r="AQ18" s="34"/>
      <c r="AR18" s="104"/>
      <c r="AS18" s="104"/>
      <c r="AT18" s="104">
        <v>43271.73332175926</v>
      </c>
      <c r="AU18" s="76" t="s">
        <v>507</v>
      </c>
      <c r="AV18" s="34"/>
      <c r="AW18" s="34"/>
      <c r="AX18" s="34"/>
      <c r="AY18" s="34"/>
      <c r="AZ18" s="34"/>
      <c r="BA18" s="34"/>
      <c r="BB18" s="34"/>
      <c r="BC18" s="34"/>
      <c r="BD18" s="34"/>
      <c r="BE18" s="34"/>
      <c r="BF18" s="34"/>
      <c r="BG18" s="34"/>
    </row>
    <row r="19" spans="1:59" ht="45">
      <c r="A19" s="100"/>
      <c r="B19" s="145" t="s">
        <v>341</v>
      </c>
      <c r="C19" s="146">
        <v>3</v>
      </c>
      <c r="D19" s="147" t="s">
        <v>71</v>
      </c>
      <c r="E19" s="147" t="s">
        <v>403</v>
      </c>
      <c r="F19" s="148" t="s">
        <v>295</v>
      </c>
      <c r="G19" s="149" t="s">
        <v>13</v>
      </c>
      <c r="H19" s="150" t="s">
        <v>4</v>
      </c>
      <c r="I19" s="149" t="s">
        <v>13</v>
      </c>
      <c r="J19" s="150" t="s">
        <v>4</v>
      </c>
      <c r="K19" s="149" t="s">
        <v>13</v>
      </c>
      <c r="L19" s="150" t="s">
        <v>4</v>
      </c>
      <c r="M19" s="149" t="s">
        <v>15</v>
      </c>
      <c r="N19" s="150" t="s">
        <v>178</v>
      </c>
      <c r="O19" s="149" t="s">
        <v>13</v>
      </c>
      <c r="P19" s="150" t="s">
        <v>4</v>
      </c>
      <c r="Q19" s="166" t="s">
        <v>15</v>
      </c>
      <c r="R19" s="166" t="s">
        <v>178</v>
      </c>
      <c r="S19" s="166" t="s">
        <v>15</v>
      </c>
      <c r="T19" s="166" t="s">
        <v>178</v>
      </c>
      <c r="U19" s="166" t="s">
        <v>15</v>
      </c>
      <c r="V19" s="166" t="s">
        <v>178</v>
      </c>
      <c r="W19" s="166" t="s">
        <v>15</v>
      </c>
      <c r="X19" s="166" t="s">
        <v>178</v>
      </c>
      <c r="Y19" s="166" t="s">
        <v>15</v>
      </c>
      <c r="Z19" s="166" t="s">
        <v>178</v>
      </c>
      <c r="AA19" s="151"/>
      <c r="AB19" s="152" t="s">
        <v>515</v>
      </c>
      <c r="AC19" s="164" t="s">
        <v>225</v>
      </c>
      <c r="AD19" s="152"/>
      <c r="AE19" s="153">
        <v>43283.684918981482</v>
      </c>
      <c r="AF19" s="154" t="s">
        <v>510</v>
      </c>
      <c r="AG19" s="34"/>
      <c r="AH19" s="34"/>
      <c r="AI19" s="34"/>
      <c r="AJ19" s="34"/>
      <c r="AK19" s="34"/>
      <c r="AL19" s="34"/>
      <c r="AM19" s="34"/>
      <c r="AN19" s="34"/>
      <c r="AO19" s="34"/>
      <c r="AP19" s="34"/>
      <c r="AQ19" s="34"/>
      <c r="AR19" s="104"/>
      <c r="AS19" s="104"/>
      <c r="AT19" s="104">
        <v>43283.684918981482</v>
      </c>
      <c r="AU19" s="76" t="s">
        <v>510</v>
      </c>
      <c r="AV19" s="34"/>
      <c r="AW19" s="34"/>
      <c r="AX19" s="34"/>
      <c r="AY19" s="34"/>
      <c r="AZ19" s="34"/>
      <c r="BA19" s="34"/>
      <c r="BB19" s="34"/>
      <c r="BC19" s="34"/>
      <c r="BD19" s="34"/>
      <c r="BE19" s="34"/>
      <c r="BF19" s="34"/>
      <c r="BG19" s="34"/>
    </row>
    <row r="20" spans="1:59" ht="45">
      <c r="A20" s="100"/>
      <c r="B20" s="145" t="s">
        <v>342</v>
      </c>
      <c r="C20" s="146">
        <v>4</v>
      </c>
      <c r="D20" s="147" t="s">
        <v>71</v>
      </c>
      <c r="E20" s="147" t="s">
        <v>404</v>
      </c>
      <c r="F20" s="148" t="s">
        <v>296</v>
      </c>
      <c r="G20" s="149" t="s">
        <v>14</v>
      </c>
      <c r="H20" s="150" t="s">
        <v>5</v>
      </c>
      <c r="I20" s="149" t="s">
        <v>14</v>
      </c>
      <c r="J20" s="150" t="s">
        <v>5</v>
      </c>
      <c r="K20" s="149" t="s">
        <v>14</v>
      </c>
      <c r="L20" s="150" t="s">
        <v>5</v>
      </c>
      <c r="M20" s="149" t="s">
        <v>15</v>
      </c>
      <c r="N20" s="150" t="s">
        <v>178</v>
      </c>
      <c r="O20" s="149" t="s">
        <v>14</v>
      </c>
      <c r="P20" s="150" t="s">
        <v>5</v>
      </c>
      <c r="Q20" s="166" t="s">
        <v>15</v>
      </c>
      <c r="R20" s="166" t="s">
        <v>178</v>
      </c>
      <c r="S20" s="166" t="s">
        <v>15</v>
      </c>
      <c r="T20" s="166" t="s">
        <v>178</v>
      </c>
      <c r="U20" s="166" t="s">
        <v>15</v>
      </c>
      <c r="V20" s="166" t="s">
        <v>178</v>
      </c>
      <c r="W20" s="166" t="s">
        <v>15</v>
      </c>
      <c r="X20" s="166" t="s">
        <v>178</v>
      </c>
      <c r="Y20" s="166" t="s">
        <v>15</v>
      </c>
      <c r="Z20" s="166" t="s">
        <v>178</v>
      </c>
      <c r="AA20" s="151"/>
      <c r="AB20" s="152" t="s">
        <v>516</v>
      </c>
      <c r="AC20" s="164" t="s">
        <v>225</v>
      </c>
      <c r="AD20" s="152"/>
      <c r="AE20" s="153">
        <v>43283.700821759259</v>
      </c>
      <c r="AF20" s="154" t="s">
        <v>507</v>
      </c>
      <c r="AG20" s="34"/>
      <c r="AH20" s="34"/>
      <c r="AI20" s="34"/>
      <c r="AJ20" s="34"/>
      <c r="AK20" s="34"/>
      <c r="AL20" s="34"/>
      <c r="AM20" s="34"/>
      <c r="AN20" s="34"/>
      <c r="AO20" s="34"/>
      <c r="AP20" s="34"/>
      <c r="AQ20" s="34"/>
      <c r="AR20" s="104"/>
      <c r="AS20" s="104"/>
      <c r="AT20" s="104">
        <v>43283.700821759259</v>
      </c>
      <c r="AU20" s="76" t="s">
        <v>507</v>
      </c>
      <c r="AV20" s="34"/>
      <c r="AW20" s="34"/>
      <c r="AX20" s="34"/>
      <c r="AY20" s="34"/>
      <c r="AZ20" s="34"/>
      <c r="BA20" s="34"/>
      <c r="BB20" s="34"/>
      <c r="BC20" s="34"/>
      <c r="BD20" s="34"/>
      <c r="BE20" s="34"/>
      <c r="BF20" s="34"/>
      <c r="BG20" s="34"/>
    </row>
    <row r="21" spans="1:59" ht="45">
      <c r="A21" s="100"/>
      <c r="B21" s="145" t="s">
        <v>343</v>
      </c>
      <c r="C21" s="146">
        <v>3</v>
      </c>
      <c r="D21" s="147" t="s">
        <v>71</v>
      </c>
      <c r="E21" s="147" t="s">
        <v>405</v>
      </c>
      <c r="F21" s="148" t="s">
        <v>297</v>
      </c>
      <c r="G21" s="149" t="s">
        <v>13</v>
      </c>
      <c r="H21" s="150" t="s">
        <v>4</v>
      </c>
      <c r="I21" s="149" t="s">
        <v>13</v>
      </c>
      <c r="J21" s="150" t="s">
        <v>4</v>
      </c>
      <c r="K21" s="149" t="s">
        <v>13</v>
      </c>
      <c r="L21" s="150" t="s">
        <v>4</v>
      </c>
      <c r="M21" s="149" t="s">
        <v>13</v>
      </c>
      <c r="N21" s="150" t="s">
        <v>4</v>
      </c>
      <c r="O21" s="149" t="s">
        <v>13</v>
      </c>
      <c r="P21" s="150" t="s">
        <v>4</v>
      </c>
      <c r="Q21" s="166"/>
      <c r="R21" s="166" t="s">
        <v>25</v>
      </c>
      <c r="S21" s="166"/>
      <c r="T21" s="166" t="s">
        <v>25</v>
      </c>
      <c r="U21" s="166"/>
      <c r="V21" s="166" t="s">
        <v>25</v>
      </c>
      <c r="W21" s="166"/>
      <c r="X21" s="166" t="s">
        <v>25</v>
      </c>
      <c r="Y21" s="166"/>
      <c r="Z21" s="166" t="s">
        <v>25</v>
      </c>
      <c r="AA21" s="151"/>
      <c r="AB21" s="152"/>
      <c r="AC21" s="164" t="s">
        <v>225</v>
      </c>
      <c r="AD21" s="152"/>
      <c r="AE21" s="153">
        <v>43271.73332175926</v>
      </c>
      <c r="AF21" s="154" t="s">
        <v>507</v>
      </c>
      <c r="AG21" s="34"/>
      <c r="AH21" s="34"/>
      <c r="AI21" s="34"/>
      <c r="AJ21" s="34"/>
      <c r="AK21" s="34"/>
      <c r="AL21" s="34"/>
      <c r="AM21" s="34"/>
      <c r="AN21" s="34"/>
      <c r="AO21" s="34"/>
      <c r="AP21" s="34"/>
      <c r="AQ21" s="34"/>
      <c r="AR21" s="104"/>
      <c r="AS21" s="104"/>
      <c r="AT21" s="104">
        <v>43271.73332175926</v>
      </c>
      <c r="AU21" s="76" t="s">
        <v>507</v>
      </c>
      <c r="AV21" s="34"/>
      <c r="AW21" s="34"/>
      <c r="AX21" s="34"/>
      <c r="AY21" s="34"/>
      <c r="AZ21" s="34"/>
      <c r="BA21" s="34"/>
      <c r="BB21" s="34"/>
      <c r="BC21" s="34"/>
      <c r="BD21" s="34"/>
      <c r="BE21" s="34"/>
      <c r="BF21" s="34"/>
      <c r="BG21" s="34"/>
    </row>
    <row r="22" spans="1:59" ht="409.5">
      <c r="A22" s="100"/>
      <c r="B22" s="145" t="s">
        <v>344</v>
      </c>
      <c r="C22" s="146">
        <v>4</v>
      </c>
      <c r="D22" s="147" t="s">
        <v>71</v>
      </c>
      <c r="E22" s="147" t="s">
        <v>406</v>
      </c>
      <c r="F22" s="148" t="s">
        <v>501</v>
      </c>
      <c r="G22" s="149" t="s">
        <v>13</v>
      </c>
      <c r="H22" s="150" t="s">
        <v>4</v>
      </c>
      <c r="I22" s="149" t="s">
        <v>13</v>
      </c>
      <c r="J22" s="150" t="s">
        <v>4</v>
      </c>
      <c r="K22" s="149" t="s">
        <v>13</v>
      </c>
      <c r="L22" s="150" t="s">
        <v>4</v>
      </c>
      <c r="M22" s="149" t="s">
        <v>13</v>
      </c>
      <c r="N22" s="150" t="s">
        <v>4</v>
      </c>
      <c r="O22" s="75" t="s">
        <v>14</v>
      </c>
      <c r="P22" s="97" t="s">
        <v>5</v>
      </c>
      <c r="Q22" s="166" t="s">
        <v>15</v>
      </c>
      <c r="R22" s="166" t="s">
        <v>178</v>
      </c>
      <c r="S22" s="166" t="s">
        <v>15</v>
      </c>
      <c r="T22" s="166" t="s">
        <v>178</v>
      </c>
      <c r="U22" s="166" t="s">
        <v>15</v>
      </c>
      <c r="V22" s="166" t="s">
        <v>178</v>
      </c>
      <c r="W22" s="166" t="s">
        <v>15</v>
      </c>
      <c r="X22" s="166" t="s">
        <v>178</v>
      </c>
      <c r="Y22" s="166" t="s">
        <v>15</v>
      </c>
      <c r="Z22" s="166" t="s">
        <v>178</v>
      </c>
      <c r="AA22" s="151"/>
      <c r="AB22" s="152" t="s">
        <v>513</v>
      </c>
      <c r="AC22" s="164" t="s">
        <v>225</v>
      </c>
      <c r="AD22" s="152"/>
      <c r="AE22" s="153">
        <v>43283.698935185188</v>
      </c>
      <c r="AF22" s="154" t="s">
        <v>507</v>
      </c>
      <c r="AG22" s="34"/>
      <c r="AH22" s="34"/>
      <c r="AI22" s="34"/>
      <c r="AJ22" s="34"/>
      <c r="AK22" s="34"/>
      <c r="AL22" s="34"/>
      <c r="AM22" s="34"/>
      <c r="AN22" s="34"/>
      <c r="AO22" s="34"/>
      <c r="AP22" s="34"/>
      <c r="AQ22" s="34"/>
      <c r="AR22" s="104"/>
      <c r="AS22" s="104"/>
      <c r="AT22" s="104">
        <v>43283.698935185188</v>
      </c>
      <c r="AU22" s="76" t="s">
        <v>507</v>
      </c>
      <c r="AV22" s="34"/>
      <c r="AW22" s="34"/>
      <c r="AX22" s="34"/>
      <c r="AY22" s="34"/>
      <c r="AZ22" s="34"/>
      <c r="BA22" s="34"/>
      <c r="BB22" s="34"/>
      <c r="BC22" s="34"/>
      <c r="BD22" s="34"/>
      <c r="BE22" s="34"/>
      <c r="BF22" s="34"/>
      <c r="BG22" s="34"/>
    </row>
    <row r="23" spans="1:59" ht="90">
      <c r="A23" s="100"/>
      <c r="B23" s="145" t="s">
        <v>345</v>
      </c>
      <c r="C23" s="146">
        <v>3</v>
      </c>
      <c r="D23" s="147" t="s">
        <v>71</v>
      </c>
      <c r="E23" s="147" t="s">
        <v>406</v>
      </c>
      <c r="F23" s="148" t="s">
        <v>504</v>
      </c>
      <c r="G23" s="149" t="s">
        <v>14</v>
      </c>
      <c r="H23" s="150" t="s">
        <v>5</v>
      </c>
      <c r="I23" s="149" t="s">
        <v>14</v>
      </c>
      <c r="J23" s="150" t="s">
        <v>5</v>
      </c>
      <c r="K23" s="149" t="s">
        <v>14</v>
      </c>
      <c r="L23" s="150" t="s">
        <v>5</v>
      </c>
      <c r="M23" s="149" t="s">
        <v>14</v>
      </c>
      <c r="N23" s="150" t="s">
        <v>5</v>
      </c>
      <c r="O23" s="149" t="s">
        <v>14</v>
      </c>
      <c r="P23" s="150" t="s">
        <v>5</v>
      </c>
      <c r="Q23" s="166"/>
      <c r="R23" s="166" t="s">
        <v>25</v>
      </c>
      <c r="S23" s="166"/>
      <c r="T23" s="166" t="s">
        <v>25</v>
      </c>
      <c r="U23" s="166"/>
      <c r="V23" s="166" t="s">
        <v>25</v>
      </c>
      <c r="W23" s="166"/>
      <c r="X23" s="166" t="s">
        <v>25</v>
      </c>
      <c r="Y23" s="166"/>
      <c r="Z23" s="166" t="s">
        <v>25</v>
      </c>
      <c r="AA23" s="151"/>
      <c r="AB23" s="152"/>
      <c r="AC23" s="164" t="s">
        <v>225</v>
      </c>
      <c r="AD23" s="152"/>
      <c r="AE23" s="153">
        <v>43271.73332175926</v>
      </c>
      <c r="AF23" s="154" t="s">
        <v>507</v>
      </c>
      <c r="AG23" s="34"/>
      <c r="AH23" s="34"/>
      <c r="AI23" s="34"/>
      <c r="AJ23" s="34"/>
      <c r="AK23" s="34"/>
      <c r="AL23" s="34"/>
      <c r="AM23" s="34"/>
      <c r="AN23" s="34"/>
      <c r="AO23" s="34"/>
      <c r="AP23" s="34"/>
      <c r="AQ23" s="34"/>
      <c r="AR23" s="104"/>
      <c r="AS23" s="104"/>
      <c r="AT23" s="104">
        <v>43271.73332175926</v>
      </c>
      <c r="AU23" s="76" t="s">
        <v>507</v>
      </c>
      <c r="AV23" s="34"/>
      <c r="AW23" s="34"/>
      <c r="AX23" s="34"/>
      <c r="AY23" s="34"/>
      <c r="AZ23" s="34"/>
      <c r="BA23" s="34"/>
      <c r="BB23" s="34"/>
      <c r="BC23" s="34"/>
      <c r="BD23" s="34"/>
      <c r="BE23" s="34"/>
      <c r="BF23" s="34"/>
      <c r="BG23" s="34"/>
    </row>
    <row r="24" spans="1:59" ht="72.75">
      <c r="A24" s="100"/>
      <c r="B24" s="145" t="s">
        <v>346</v>
      </c>
      <c r="C24" s="146">
        <v>5</v>
      </c>
      <c r="D24" s="147" t="s">
        <v>71</v>
      </c>
      <c r="E24" s="147" t="s">
        <v>477</v>
      </c>
      <c r="F24" s="148" t="s">
        <v>424</v>
      </c>
      <c r="G24" s="149" t="s">
        <v>15</v>
      </c>
      <c r="H24" s="150" t="s">
        <v>178</v>
      </c>
      <c r="I24" s="149" t="s">
        <v>15</v>
      </c>
      <c r="J24" s="150" t="s">
        <v>178</v>
      </c>
      <c r="K24" s="149" t="s">
        <v>13</v>
      </c>
      <c r="L24" s="150" t="s">
        <v>4</v>
      </c>
      <c r="M24" s="149" t="s">
        <v>13</v>
      </c>
      <c r="N24" s="150" t="s">
        <v>4</v>
      </c>
      <c r="O24" s="149" t="s">
        <v>13</v>
      </c>
      <c r="P24" s="150" t="s">
        <v>4</v>
      </c>
      <c r="Q24" s="166"/>
      <c r="R24" s="166" t="s">
        <v>25</v>
      </c>
      <c r="S24" s="166"/>
      <c r="T24" s="166" t="s">
        <v>25</v>
      </c>
      <c r="U24" s="166"/>
      <c r="V24" s="166" t="s">
        <v>25</v>
      </c>
      <c r="W24" s="166"/>
      <c r="X24" s="166" t="s">
        <v>25</v>
      </c>
      <c r="Y24" s="166"/>
      <c r="Z24" s="166" t="s">
        <v>25</v>
      </c>
      <c r="AA24" s="151"/>
      <c r="AB24" s="152"/>
      <c r="AC24" s="164" t="s">
        <v>225</v>
      </c>
      <c r="AD24" s="152"/>
      <c r="AE24" s="153">
        <v>43271.73332175926</v>
      </c>
      <c r="AF24" s="154" t="s">
        <v>507</v>
      </c>
      <c r="AG24" s="34"/>
      <c r="AH24" s="34"/>
      <c r="AI24" s="34"/>
      <c r="AJ24" s="34"/>
      <c r="AK24" s="34"/>
      <c r="AL24" s="34"/>
      <c r="AM24" s="34"/>
      <c r="AN24" s="34"/>
      <c r="AO24" s="34"/>
      <c r="AP24" s="34"/>
      <c r="AQ24" s="34"/>
      <c r="AR24" s="104"/>
      <c r="AS24" s="104"/>
      <c r="AT24" s="104">
        <v>43271.73332175926</v>
      </c>
      <c r="AU24" s="76" t="s">
        <v>507</v>
      </c>
      <c r="AV24" s="34"/>
      <c r="AW24" s="34"/>
      <c r="AX24" s="34"/>
      <c r="AY24" s="34"/>
      <c r="AZ24" s="34"/>
      <c r="BA24" s="34"/>
      <c r="BB24" s="34"/>
      <c r="BC24" s="34"/>
      <c r="BD24" s="34"/>
      <c r="BE24" s="34"/>
      <c r="BF24" s="34"/>
      <c r="BG24" s="34"/>
    </row>
    <row r="25" spans="1:59" ht="270">
      <c r="A25" s="100"/>
      <c r="B25" s="177" t="s">
        <v>347</v>
      </c>
      <c r="C25" s="178">
        <v>5</v>
      </c>
      <c r="D25" s="179" t="s">
        <v>71</v>
      </c>
      <c r="E25" s="179" t="s">
        <v>478</v>
      </c>
      <c r="F25" s="148" t="s">
        <v>425</v>
      </c>
      <c r="G25" s="149" t="s">
        <v>13</v>
      </c>
      <c r="H25" s="150" t="s">
        <v>4</v>
      </c>
      <c r="I25" s="149" t="s">
        <v>13</v>
      </c>
      <c r="J25" s="150" t="s">
        <v>4</v>
      </c>
      <c r="K25" s="149" t="s">
        <v>15</v>
      </c>
      <c r="L25" s="150" t="s">
        <v>178</v>
      </c>
      <c r="M25" s="149" t="s">
        <v>15</v>
      </c>
      <c r="N25" s="150" t="s">
        <v>178</v>
      </c>
      <c r="O25" s="149" t="s">
        <v>15</v>
      </c>
      <c r="P25" s="150" t="s">
        <v>178</v>
      </c>
      <c r="Q25" s="166"/>
      <c r="R25" s="166" t="s">
        <v>25</v>
      </c>
      <c r="S25" s="166"/>
      <c r="T25" s="166" t="s">
        <v>25</v>
      </c>
      <c r="U25" s="166"/>
      <c r="V25" s="166" t="s">
        <v>25</v>
      </c>
      <c r="W25" s="166"/>
      <c r="X25" s="166" t="s">
        <v>25</v>
      </c>
      <c r="Y25" s="166"/>
      <c r="Z25" s="166" t="s">
        <v>25</v>
      </c>
      <c r="AA25" s="151"/>
      <c r="AB25" s="152"/>
      <c r="AC25" s="164" t="s">
        <v>225</v>
      </c>
      <c r="AD25" s="152"/>
      <c r="AE25" s="153">
        <v>43271.73332175926</v>
      </c>
      <c r="AF25" s="154" t="s">
        <v>507</v>
      </c>
      <c r="AG25" s="34"/>
      <c r="AH25" s="34"/>
      <c r="AI25" s="34"/>
      <c r="AJ25" s="34"/>
      <c r="AK25" s="34"/>
      <c r="AL25" s="34"/>
      <c r="AM25" s="34"/>
      <c r="AN25" s="34"/>
      <c r="AO25" s="34"/>
      <c r="AP25" s="34"/>
      <c r="AQ25" s="34"/>
      <c r="AR25" s="104"/>
      <c r="AS25" s="104"/>
      <c r="AT25" s="104">
        <v>43271.73332175926</v>
      </c>
      <c r="AU25" s="76" t="s">
        <v>507</v>
      </c>
      <c r="AV25" s="34"/>
      <c r="AW25" s="34"/>
      <c r="AX25" s="34"/>
      <c r="AY25" s="34"/>
      <c r="AZ25" s="34"/>
      <c r="BA25" s="34"/>
      <c r="BB25" s="34"/>
      <c r="BC25" s="34"/>
      <c r="BD25" s="34"/>
      <c r="BE25" s="34"/>
      <c r="BF25" s="34"/>
      <c r="BG25" s="34"/>
    </row>
    <row r="26" spans="1:59" ht="90">
      <c r="A26" s="100"/>
      <c r="B26" s="145" t="s">
        <v>348</v>
      </c>
      <c r="C26" s="146">
        <v>6</v>
      </c>
      <c r="D26" s="147" t="s">
        <v>71</v>
      </c>
      <c r="E26" s="147" t="s">
        <v>479</v>
      </c>
      <c r="F26" s="148" t="s">
        <v>418</v>
      </c>
      <c r="G26" s="149" t="s">
        <v>13</v>
      </c>
      <c r="H26" s="150" t="s">
        <v>4</v>
      </c>
      <c r="I26" s="149" t="s">
        <v>13</v>
      </c>
      <c r="J26" s="150" t="s">
        <v>4</v>
      </c>
      <c r="K26" s="149" t="s">
        <v>15</v>
      </c>
      <c r="L26" s="150" t="s">
        <v>178</v>
      </c>
      <c r="M26" s="149" t="s">
        <v>15</v>
      </c>
      <c r="N26" s="150" t="s">
        <v>178</v>
      </c>
      <c r="O26" s="149" t="s">
        <v>15</v>
      </c>
      <c r="P26" s="150" t="s">
        <v>178</v>
      </c>
      <c r="Q26" s="166"/>
      <c r="R26" s="166" t="s">
        <v>25</v>
      </c>
      <c r="S26" s="166"/>
      <c r="T26" s="166" t="s">
        <v>25</v>
      </c>
      <c r="U26" s="166"/>
      <c r="V26" s="166" t="s">
        <v>25</v>
      </c>
      <c r="W26" s="166"/>
      <c r="X26" s="166" t="s">
        <v>25</v>
      </c>
      <c r="Y26" s="166"/>
      <c r="Z26" s="166" t="s">
        <v>25</v>
      </c>
      <c r="AA26" s="151"/>
      <c r="AB26" s="152"/>
      <c r="AC26" s="164" t="s">
        <v>225</v>
      </c>
      <c r="AD26" s="152"/>
      <c r="AE26" s="153">
        <v>43271.73332175926</v>
      </c>
      <c r="AF26" s="154" t="s">
        <v>507</v>
      </c>
      <c r="AG26" s="34"/>
      <c r="AH26" s="34"/>
      <c r="AI26" s="34"/>
      <c r="AJ26" s="34"/>
      <c r="AK26" s="34"/>
      <c r="AL26" s="34"/>
      <c r="AM26" s="34"/>
      <c r="AN26" s="34"/>
      <c r="AO26" s="34"/>
      <c r="AP26" s="34"/>
      <c r="AQ26" s="34"/>
      <c r="AR26" s="104"/>
      <c r="AS26" s="104"/>
      <c r="AT26" s="104">
        <v>43271.73332175926</v>
      </c>
      <c r="AU26" s="76" t="s">
        <v>507</v>
      </c>
      <c r="AV26" s="34"/>
      <c r="AW26" s="34"/>
      <c r="AX26" s="34"/>
      <c r="AY26" s="34"/>
      <c r="AZ26" s="34"/>
      <c r="BA26" s="34"/>
      <c r="BB26" s="34"/>
      <c r="BC26" s="34"/>
      <c r="BD26" s="34"/>
      <c r="BE26" s="34"/>
      <c r="BF26" s="34"/>
      <c r="BG26" s="34"/>
    </row>
    <row r="27" spans="1:59" ht="135">
      <c r="A27" s="100"/>
      <c r="B27" s="177" t="s">
        <v>349</v>
      </c>
      <c r="C27" s="178">
        <v>5</v>
      </c>
      <c r="D27" s="179" t="s">
        <v>71</v>
      </c>
      <c r="E27" s="147" t="s">
        <v>480</v>
      </c>
      <c r="F27" s="180" t="s">
        <v>414</v>
      </c>
      <c r="G27" s="149" t="s">
        <v>13</v>
      </c>
      <c r="H27" s="150" t="s">
        <v>4</v>
      </c>
      <c r="I27" s="149" t="s">
        <v>13</v>
      </c>
      <c r="J27" s="150" t="s">
        <v>4</v>
      </c>
      <c r="K27" s="149" t="s">
        <v>15</v>
      </c>
      <c r="L27" s="150" t="s">
        <v>178</v>
      </c>
      <c r="M27" s="149" t="s">
        <v>15</v>
      </c>
      <c r="N27" s="150" t="s">
        <v>178</v>
      </c>
      <c r="O27" s="149" t="s">
        <v>15</v>
      </c>
      <c r="P27" s="150" t="s">
        <v>178</v>
      </c>
      <c r="Q27" s="166"/>
      <c r="R27" s="166" t="s">
        <v>25</v>
      </c>
      <c r="S27" s="166"/>
      <c r="T27" s="166" t="s">
        <v>25</v>
      </c>
      <c r="U27" s="166"/>
      <c r="V27" s="166" t="s">
        <v>25</v>
      </c>
      <c r="W27" s="166"/>
      <c r="X27" s="166" t="s">
        <v>25</v>
      </c>
      <c r="Y27" s="166"/>
      <c r="Z27" s="166" t="s">
        <v>25</v>
      </c>
      <c r="AA27" s="151"/>
      <c r="AB27" s="152" t="s">
        <v>423</v>
      </c>
      <c r="AC27" s="164" t="s">
        <v>225</v>
      </c>
      <c r="AD27" s="152"/>
      <c r="AE27" s="153">
        <v>43271.73332175926</v>
      </c>
      <c r="AF27" s="154" t="s">
        <v>507</v>
      </c>
      <c r="AG27" s="34"/>
      <c r="AH27" s="34"/>
      <c r="AI27" s="34"/>
      <c r="AJ27" s="34"/>
      <c r="AK27" s="34"/>
      <c r="AL27" s="34"/>
      <c r="AM27" s="34"/>
      <c r="AN27" s="34"/>
      <c r="AO27" s="34"/>
      <c r="AP27" s="34"/>
      <c r="AQ27" s="34"/>
      <c r="AR27" s="104"/>
      <c r="AS27" s="104"/>
      <c r="AT27" s="104">
        <v>43271.73332175926</v>
      </c>
      <c r="AU27" s="76" t="s">
        <v>507</v>
      </c>
      <c r="AV27" s="34"/>
      <c r="AW27" s="34"/>
      <c r="AX27" s="34"/>
      <c r="AY27" s="34"/>
      <c r="AZ27" s="34"/>
      <c r="BA27" s="34"/>
      <c r="BB27" s="34"/>
      <c r="BC27" s="34"/>
      <c r="BD27" s="34"/>
      <c r="BE27" s="34"/>
      <c r="BF27" s="34"/>
      <c r="BG27" s="34"/>
    </row>
    <row r="28" spans="1:59" ht="75">
      <c r="A28" s="100"/>
      <c r="B28" s="145" t="s">
        <v>350</v>
      </c>
      <c r="C28" s="146">
        <v>5</v>
      </c>
      <c r="D28" s="147" t="s">
        <v>71</v>
      </c>
      <c r="E28" s="147" t="s">
        <v>481</v>
      </c>
      <c r="F28" s="148" t="s">
        <v>309</v>
      </c>
      <c r="G28" s="149" t="s">
        <v>13</v>
      </c>
      <c r="H28" s="150" t="s">
        <v>4</v>
      </c>
      <c r="I28" s="149" t="s">
        <v>13</v>
      </c>
      <c r="J28" s="150" t="s">
        <v>4</v>
      </c>
      <c r="K28" s="149" t="s">
        <v>13</v>
      </c>
      <c r="L28" s="150" t="s">
        <v>4</v>
      </c>
      <c r="M28" s="149" t="s">
        <v>15</v>
      </c>
      <c r="N28" s="150" t="s">
        <v>178</v>
      </c>
      <c r="O28" s="149" t="s">
        <v>14</v>
      </c>
      <c r="P28" s="150" t="s">
        <v>5</v>
      </c>
      <c r="Q28" s="166"/>
      <c r="R28" s="166" t="s">
        <v>25</v>
      </c>
      <c r="S28" s="166"/>
      <c r="T28" s="166" t="s">
        <v>25</v>
      </c>
      <c r="U28" s="166"/>
      <c r="V28" s="166" t="s">
        <v>25</v>
      </c>
      <c r="W28" s="166"/>
      <c r="X28" s="166" t="s">
        <v>25</v>
      </c>
      <c r="Y28" s="166"/>
      <c r="Z28" s="166" t="s">
        <v>25</v>
      </c>
      <c r="AA28" s="151"/>
      <c r="AB28" s="172" t="s">
        <v>517</v>
      </c>
      <c r="AC28" s="164" t="s">
        <v>225</v>
      </c>
      <c r="AD28" s="152"/>
      <c r="AE28" s="153">
        <v>43283.700949074075</v>
      </c>
      <c r="AF28" s="154" t="s">
        <v>507</v>
      </c>
      <c r="AG28" s="34"/>
      <c r="AH28" s="34"/>
      <c r="AI28" s="34"/>
      <c r="AJ28" s="34"/>
      <c r="AK28" s="34"/>
      <c r="AL28" s="34"/>
      <c r="AM28" s="34"/>
      <c r="AN28" s="34"/>
      <c r="AO28" s="34"/>
      <c r="AP28" s="34"/>
      <c r="AQ28" s="34"/>
      <c r="AR28" s="104"/>
      <c r="AS28" s="104"/>
      <c r="AT28" s="104">
        <v>43283.700949074075</v>
      </c>
      <c r="AU28" s="76" t="s">
        <v>507</v>
      </c>
      <c r="AV28" s="34"/>
      <c r="AW28" s="34"/>
      <c r="AX28" s="34"/>
      <c r="AY28" s="34"/>
      <c r="AZ28" s="34"/>
      <c r="BA28" s="34"/>
      <c r="BB28" s="34"/>
      <c r="BC28" s="34"/>
      <c r="BD28" s="34"/>
      <c r="BE28" s="34"/>
      <c r="BF28" s="34"/>
      <c r="BG28" s="34"/>
    </row>
    <row r="29" spans="1:59" ht="186.75">
      <c r="A29" s="100"/>
      <c r="B29" s="145" t="s">
        <v>351</v>
      </c>
      <c r="C29" s="146">
        <v>5</v>
      </c>
      <c r="D29" s="147" t="s">
        <v>71</v>
      </c>
      <c r="E29" s="147" t="s">
        <v>482</v>
      </c>
      <c r="F29" s="182" t="s">
        <v>457</v>
      </c>
      <c r="G29" s="149" t="s">
        <v>13</v>
      </c>
      <c r="H29" s="150" t="s">
        <v>4</v>
      </c>
      <c r="I29" s="149" t="s">
        <v>13</v>
      </c>
      <c r="J29" s="150" t="s">
        <v>4</v>
      </c>
      <c r="K29" s="149" t="s">
        <v>13</v>
      </c>
      <c r="L29" s="150" t="s">
        <v>4</v>
      </c>
      <c r="M29" s="149" t="s">
        <v>13</v>
      </c>
      <c r="N29" s="150" t="s">
        <v>4</v>
      </c>
      <c r="O29" s="149" t="s">
        <v>13</v>
      </c>
      <c r="P29" s="150" t="s">
        <v>4</v>
      </c>
      <c r="Q29" s="166"/>
      <c r="R29" s="166" t="s">
        <v>25</v>
      </c>
      <c r="S29" s="166"/>
      <c r="T29" s="166" t="s">
        <v>25</v>
      </c>
      <c r="U29" s="166"/>
      <c r="V29" s="166" t="s">
        <v>25</v>
      </c>
      <c r="W29" s="166"/>
      <c r="X29" s="166" t="s">
        <v>25</v>
      </c>
      <c r="Y29" s="166"/>
      <c r="Z29" s="166" t="s">
        <v>25</v>
      </c>
      <c r="AA29" s="151"/>
      <c r="AB29" s="183" t="s">
        <v>426</v>
      </c>
      <c r="AC29" s="164" t="s">
        <v>225</v>
      </c>
      <c r="AD29" s="152"/>
      <c r="AE29" s="153">
        <v>43271.73332175926</v>
      </c>
      <c r="AF29" s="154" t="s">
        <v>507</v>
      </c>
      <c r="AG29" s="34"/>
      <c r="AH29" s="34"/>
      <c r="AI29" s="34"/>
      <c r="AJ29" s="34"/>
      <c r="AK29" s="34"/>
      <c r="AL29" s="34"/>
      <c r="AM29" s="34"/>
      <c r="AN29" s="34"/>
      <c r="AO29" s="34"/>
      <c r="AP29" s="34"/>
      <c r="AQ29" s="34"/>
      <c r="AR29" s="104"/>
      <c r="AS29" s="104"/>
      <c r="AT29" s="104">
        <v>43271.73332175926</v>
      </c>
      <c r="AU29" s="76" t="s">
        <v>507</v>
      </c>
      <c r="AV29" s="34"/>
      <c r="AW29" s="34"/>
      <c r="AX29" s="34"/>
      <c r="AY29" s="34"/>
      <c r="AZ29" s="34"/>
      <c r="BA29" s="34"/>
      <c r="BB29" s="34"/>
      <c r="BC29" s="34"/>
      <c r="BD29" s="34"/>
      <c r="BE29" s="34"/>
      <c r="BF29" s="34"/>
      <c r="BG29" s="34"/>
    </row>
    <row r="30" spans="1:59" ht="60">
      <c r="A30" s="100"/>
      <c r="B30" s="145" t="s">
        <v>352</v>
      </c>
      <c r="C30" s="146">
        <v>4</v>
      </c>
      <c r="D30" s="147" t="s">
        <v>71</v>
      </c>
      <c r="E30" s="147" t="s">
        <v>483</v>
      </c>
      <c r="F30" s="148" t="s">
        <v>310</v>
      </c>
      <c r="G30" s="149" t="s">
        <v>13</v>
      </c>
      <c r="H30" s="150" t="s">
        <v>4</v>
      </c>
      <c r="I30" s="149" t="s">
        <v>13</v>
      </c>
      <c r="J30" s="150" t="s">
        <v>4</v>
      </c>
      <c r="K30" s="149" t="s">
        <v>13</v>
      </c>
      <c r="L30" s="150" t="s">
        <v>4</v>
      </c>
      <c r="M30" s="149" t="s">
        <v>13</v>
      </c>
      <c r="N30" s="150" t="s">
        <v>4</v>
      </c>
      <c r="O30" s="149" t="s">
        <v>13</v>
      </c>
      <c r="P30" s="150" t="s">
        <v>4</v>
      </c>
      <c r="Q30" s="166"/>
      <c r="R30" s="166" t="s">
        <v>25</v>
      </c>
      <c r="S30" s="166"/>
      <c r="T30" s="166" t="s">
        <v>25</v>
      </c>
      <c r="U30" s="166"/>
      <c r="V30" s="166" t="s">
        <v>25</v>
      </c>
      <c r="W30" s="166"/>
      <c r="X30" s="166" t="s">
        <v>25</v>
      </c>
      <c r="Y30" s="166"/>
      <c r="Z30" s="166" t="s">
        <v>25</v>
      </c>
      <c r="AA30" s="151"/>
      <c r="AB30" s="152"/>
      <c r="AC30" s="164" t="s">
        <v>225</v>
      </c>
      <c r="AD30" s="152"/>
      <c r="AE30" s="153">
        <v>43271.73332175926</v>
      </c>
      <c r="AF30" s="154" t="s">
        <v>507</v>
      </c>
      <c r="AG30" s="34"/>
      <c r="AH30" s="34"/>
      <c r="AI30" s="34"/>
      <c r="AJ30" s="34"/>
      <c r="AK30" s="34"/>
      <c r="AL30" s="34"/>
      <c r="AM30" s="34"/>
      <c r="AN30" s="34"/>
      <c r="AO30" s="34"/>
      <c r="AP30" s="34"/>
      <c r="AQ30" s="34"/>
      <c r="AR30" s="104"/>
      <c r="AS30" s="104"/>
      <c r="AT30" s="104">
        <v>43271.73332175926</v>
      </c>
      <c r="AU30" s="76" t="s">
        <v>507</v>
      </c>
      <c r="AV30" s="34"/>
      <c r="AW30" s="34"/>
      <c r="AX30" s="34"/>
      <c r="AY30" s="34"/>
      <c r="AZ30" s="34"/>
      <c r="BA30" s="34"/>
      <c r="BB30" s="34"/>
      <c r="BC30" s="34"/>
      <c r="BD30" s="34"/>
      <c r="BE30" s="34"/>
      <c r="BF30" s="34"/>
      <c r="BG30" s="34"/>
    </row>
    <row r="31" spans="1:59" ht="134.25">
      <c r="A31" s="100"/>
      <c r="B31" s="145" t="s">
        <v>353</v>
      </c>
      <c r="C31" s="146">
        <v>6</v>
      </c>
      <c r="D31" s="147" t="s">
        <v>71</v>
      </c>
      <c r="E31" s="147" t="s">
        <v>484</v>
      </c>
      <c r="F31" s="148" t="s">
        <v>427</v>
      </c>
      <c r="G31" s="149" t="s">
        <v>13</v>
      </c>
      <c r="H31" s="150" t="s">
        <v>4</v>
      </c>
      <c r="I31" s="149" t="s">
        <v>13</v>
      </c>
      <c r="J31" s="150" t="s">
        <v>4</v>
      </c>
      <c r="K31" s="149" t="s">
        <v>13</v>
      </c>
      <c r="L31" s="150" t="s">
        <v>4</v>
      </c>
      <c r="M31" s="149" t="s">
        <v>13</v>
      </c>
      <c r="N31" s="150" t="s">
        <v>4</v>
      </c>
      <c r="O31" s="149" t="s">
        <v>13</v>
      </c>
      <c r="P31" s="150" t="s">
        <v>4</v>
      </c>
      <c r="Q31" s="166"/>
      <c r="R31" s="166" t="s">
        <v>25</v>
      </c>
      <c r="S31" s="166"/>
      <c r="T31" s="166" t="s">
        <v>25</v>
      </c>
      <c r="U31" s="166"/>
      <c r="V31" s="166" t="s">
        <v>25</v>
      </c>
      <c r="W31" s="166"/>
      <c r="X31" s="166" t="s">
        <v>25</v>
      </c>
      <c r="Y31" s="166"/>
      <c r="Z31" s="166" t="s">
        <v>25</v>
      </c>
      <c r="AA31" s="151"/>
      <c r="AB31" s="152"/>
      <c r="AC31" s="164" t="s">
        <v>225</v>
      </c>
      <c r="AD31" s="152"/>
      <c r="AE31" s="153">
        <v>43271.73332175926</v>
      </c>
      <c r="AF31" s="154" t="s">
        <v>507</v>
      </c>
      <c r="AG31" s="34"/>
      <c r="AH31" s="34"/>
      <c r="AI31" s="34"/>
      <c r="AJ31" s="34"/>
      <c r="AK31" s="34"/>
      <c r="AL31" s="34"/>
      <c r="AM31" s="34"/>
      <c r="AN31" s="34"/>
      <c r="AO31" s="34"/>
      <c r="AP31" s="34"/>
      <c r="AQ31" s="34"/>
      <c r="AR31" s="104"/>
      <c r="AS31" s="104"/>
      <c r="AT31" s="104">
        <v>43271.73332175926</v>
      </c>
      <c r="AU31" s="76" t="s">
        <v>507</v>
      </c>
      <c r="AV31" s="34"/>
      <c r="AW31" s="34"/>
      <c r="AX31" s="34"/>
      <c r="AY31" s="34"/>
      <c r="AZ31" s="34"/>
      <c r="BA31" s="34"/>
      <c r="BB31" s="34"/>
      <c r="BC31" s="34"/>
      <c r="BD31" s="34"/>
      <c r="BE31" s="34"/>
      <c r="BF31" s="34"/>
      <c r="BG31" s="34"/>
    </row>
    <row r="32" spans="1:59" ht="135">
      <c r="A32" s="100"/>
      <c r="B32" s="145" t="s">
        <v>354</v>
      </c>
      <c r="C32" s="146">
        <v>4</v>
      </c>
      <c r="D32" s="147" t="s">
        <v>71</v>
      </c>
      <c r="E32" s="147" t="s">
        <v>485</v>
      </c>
      <c r="F32" s="148" t="s">
        <v>312</v>
      </c>
      <c r="G32" s="149" t="s">
        <v>13</v>
      </c>
      <c r="H32" s="150" t="s">
        <v>4</v>
      </c>
      <c r="I32" s="149" t="s">
        <v>13</v>
      </c>
      <c r="J32" s="150" t="s">
        <v>4</v>
      </c>
      <c r="K32" s="149" t="s">
        <v>13</v>
      </c>
      <c r="L32" s="150" t="s">
        <v>4</v>
      </c>
      <c r="M32" s="149" t="s">
        <v>13</v>
      </c>
      <c r="N32" s="150" t="s">
        <v>4</v>
      </c>
      <c r="O32" s="149" t="s">
        <v>13</v>
      </c>
      <c r="P32" s="150" t="s">
        <v>4</v>
      </c>
      <c r="Q32" s="166"/>
      <c r="R32" s="166" t="s">
        <v>25</v>
      </c>
      <c r="S32" s="166"/>
      <c r="T32" s="166" t="s">
        <v>25</v>
      </c>
      <c r="U32" s="166"/>
      <c r="V32" s="166" t="s">
        <v>25</v>
      </c>
      <c r="W32" s="166"/>
      <c r="X32" s="166" t="s">
        <v>25</v>
      </c>
      <c r="Y32" s="166"/>
      <c r="Z32" s="166" t="s">
        <v>25</v>
      </c>
      <c r="AA32" s="151" t="s">
        <v>382</v>
      </c>
      <c r="AB32" s="152"/>
      <c r="AC32" s="164" t="s">
        <v>225</v>
      </c>
      <c r="AD32" s="152"/>
      <c r="AE32" s="153">
        <v>43271.73332175926</v>
      </c>
      <c r="AF32" s="154" t="s">
        <v>507</v>
      </c>
      <c r="AG32" s="34"/>
      <c r="AH32" s="34"/>
      <c r="AI32" s="34"/>
      <c r="AJ32" s="34"/>
      <c r="AK32" s="34"/>
      <c r="AL32" s="34"/>
      <c r="AM32" s="34"/>
      <c r="AN32" s="34"/>
      <c r="AO32" s="34"/>
      <c r="AP32" s="34"/>
      <c r="AQ32" s="34"/>
      <c r="AR32" s="104"/>
      <c r="AS32" s="104"/>
      <c r="AT32" s="104">
        <v>43271.73332175926</v>
      </c>
      <c r="AU32" s="76" t="s">
        <v>507</v>
      </c>
      <c r="AV32" s="34"/>
      <c r="AW32" s="34"/>
      <c r="AX32" s="34"/>
      <c r="AY32" s="34"/>
      <c r="AZ32" s="34"/>
      <c r="BA32" s="34"/>
      <c r="BB32" s="34"/>
      <c r="BC32" s="34"/>
      <c r="BD32" s="34"/>
      <c r="BE32" s="34"/>
      <c r="BF32" s="34"/>
      <c r="BG32" s="34"/>
    </row>
    <row r="33" spans="1:59" ht="103.5">
      <c r="A33" s="100"/>
      <c r="B33" s="145" t="s">
        <v>355</v>
      </c>
      <c r="C33" s="146">
        <v>5</v>
      </c>
      <c r="D33" s="147" t="s">
        <v>71</v>
      </c>
      <c r="E33" s="147" t="s">
        <v>486</v>
      </c>
      <c r="F33" s="148" t="s">
        <v>428</v>
      </c>
      <c r="G33" s="149" t="s">
        <v>13</v>
      </c>
      <c r="H33" s="150" t="s">
        <v>4</v>
      </c>
      <c r="I33" s="149" t="s">
        <v>13</v>
      </c>
      <c r="J33" s="150" t="s">
        <v>4</v>
      </c>
      <c r="K33" s="149" t="s">
        <v>13</v>
      </c>
      <c r="L33" s="150" t="s">
        <v>4</v>
      </c>
      <c r="M33" s="149" t="s">
        <v>13</v>
      </c>
      <c r="N33" s="150" t="s">
        <v>4</v>
      </c>
      <c r="O33" s="149" t="s">
        <v>13</v>
      </c>
      <c r="P33" s="150" t="s">
        <v>4</v>
      </c>
      <c r="Q33" s="166"/>
      <c r="R33" s="166" t="s">
        <v>25</v>
      </c>
      <c r="S33" s="166"/>
      <c r="T33" s="166" t="s">
        <v>25</v>
      </c>
      <c r="U33" s="166"/>
      <c r="V33" s="166" t="s">
        <v>25</v>
      </c>
      <c r="W33" s="166"/>
      <c r="X33" s="166" t="s">
        <v>25</v>
      </c>
      <c r="Y33" s="166"/>
      <c r="Z33" s="166" t="s">
        <v>25</v>
      </c>
      <c r="AA33" s="151"/>
      <c r="AB33" s="152"/>
      <c r="AC33" s="164" t="s">
        <v>225</v>
      </c>
      <c r="AD33" s="152"/>
      <c r="AE33" s="153">
        <v>43271.73332175926</v>
      </c>
      <c r="AF33" s="154" t="s">
        <v>507</v>
      </c>
      <c r="AG33" s="34"/>
      <c r="AH33" s="34"/>
      <c r="AI33" s="34"/>
      <c r="AJ33" s="34"/>
      <c r="AK33" s="34"/>
      <c r="AL33" s="34"/>
      <c r="AM33" s="34"/>
      <c r="AN33" s="34"/>
      <c r="AO33" s="34"/>
      <c r="AP33" s="34"/>
      <c r="AQ33" s="34"/>
      <c r="AR33" s="104"/>
      <c r="AS33" s="104"/>
      <c r="AT33" s="104">
        <v>43271.73332175926</v>
      </c>
      <c r="AU33" s="76" t="s">
        <v>507</v>
      </c>
      <c r="AV33" s="34"/>
      <c r="AW33" s="34"/>
      <c r="AX33" s="34"/>
      <c r="AY33" s="34"/>
      <c r="AZ33" s="34"/>
      <c r="BA33" s="34"/>
      <c r="BB33" s="34"/>
      <c r="BC33" s="34"/>
      <c r="BD33" s="34"/>
      <c r="BE33" s="34"/>
      <c r="BF33" s="34"/>
      <c r="BG33" s="34"/>
    </row>
    <row r="34" spans="1:59" ht="99.75">
      <c r="A34" s="100"/>
      <c r="B34" s="177" t="s">
        <v>356</v>
      </c>
      <c r="C34" s="178">
        <v>4</v>
      </c>
      <c r="D34" s="179" t="s">
        <v>71</v>
      </c>
      <c r="E34" s="147" t="s">
        <v>487</v>
      </c>
      <c r="F34" s="181" t="s">
        <v>429</v>
      </c>
      <c r="G34" s="149" t="s">
        <v>14</v>
      </c>
      <c r="H34" s="150" t="s">
        <v>4</v>
      </c>
      <c r="I34" s="149" t="s">
        <v>14</v>
      </c>
      <c r="J34" s="150" t="s">
        <v>5</v>
      </c>
      <c r="K34" s="149" t="s">
        <v>15</v>
      </c>
      <c r="L34" s="150" t="s">
        <v>178</v>
      </c>
      <c r="M34" s="149" t="s">
        <v>14</v>
      </c>
      <c r="N34" s="150" t="s">
        <v>5</v>
      </c>
      <c r="O34" s="149" t="s">
        <v>15</v>
      </c>
      <c r="P34" s="150" t="s">
        <v>178</v>
      </c>
      <c r="Q34" s="166"/>
      <c r="R34" s="166" t="s">
        <v>25</v>
      </c>
      <c r="S34" s="166"/>
      <c r="T34" s="166" t="s">
        <v>25</v>
      </c>
      <c r="U34" s="166"/>
      <c r="V34" s="166" t="s">
        <v>25</v>
      </c>
      <c r="W34" s="166"/>
      <c r="X34" s="166" t="s">
        <v>25</v>
      </c>
      <c r="Y34" s="166"/>
      <c r="Z34" s="166" t="s">
        <v>25</v>
      </c>
      <c r="AA34" s="151"/>
      <c r="AB34" s="152"/>
      <c r="AC34" s="164" t="s">
        <v>225</v>
      </c>
      <c r="AD34" s="152"/>
      <c r="AE34" s="153">
        <v>43271.73332175926</v>
      </c>
      <c r="AF34" s="154" t="s">
        <v>507</v>
      </c>
      <c r="AG34" s="34"/>
      <c r="AH34" s="34"/>
      <c r="AI34" s="34"/>
      <c r="AJ34" s="34"/>
      <c r="AK34" s="34"/>
      <c r="AL34" s="34"/>
      <c r="AM34" s="34"/>
      <c r="AN34" s="34"/>
      <c r="AO34" s="34"/>
      <c r="AP34" s="34"/>
      <c r="AQ34" s="34"/>
      <c r="AR34" s="104"/>
      <c r="AS34" s="104"/>
      <c r="AT34" s="104">
        <v>43271.73332175926</v>
      </c>
      <c r="AU34" s="76" t="s">
        <v>507</v>
      </c>
      <c r="AV34" s="34"/>
      <c r="AW34" s="34"/>
      <c r="AX34" s="34"/>
      <c r="AY34" s="34"/>
      <c r="AZ34" s="34"/>
      <c r="BA34" s="34"/>
      <c r="BB34" s="34"/>
      <c r="BC34" s="34"/>
      <c r="BD34" s="34"/>
      <c r="BE34" s="34"/>
      <c r="BF34" s="34"/>
      <c r="BG34" s="34"/>
    </row>
    <row r="35" spans="1:59" ht="105">
      <c r="A35" s="100"/>
      <c r="B35" s="177" t="s">
        <v>472</v>
      </c>
      <c r="C35" s="178">
        <v>4</v>
      </c>
      <c r="D35" s="179" t="s">
        <v>71</v>
      </c>
      <c r="E35" s="147" t="s">
        <v>488</v>
      </c>
      <c r="F35" s="148" t="s">
        <v>473</v>
      </c>
      <c r="G35" s="149" t="s">
        <v>14</v>
      </c>
      <c r="H35" s="150" t="s">
        <v>4</v>
      </c>
      <c r="I35" s="149" t="s">
        <v>14</v>
      </c>
      <c r="J35" s="150" t="s">
        <v>5</v>
      </c>
      <c r="K35" s="149" t="s">
        <v>15</v>
      </c>
      <c r="L35" s="150" t="s">
        <v>178</v>
      </c>
      <c r="M35" s="149" t="s">
        <v>14</v>
      </c>
      <c r="N35" s="150" t="s">
        <v>5</v>
      </c>
      <c r="O35" s="149" t="s">
        <v>15</v>
      </c>
      <c r="P35" s="150" t="s">
        <v>178</v>
      </c>
      <c r="Q35" s="166"/>
      <c r="R35" s="166" t="s">
        <v>25</v>
      </c>
      <c r="S35" s="166"/>
      <c r="T35" s="166" t="s">
        <v>25</v>
      </c>
      <c r="U35" s="166"/>
      <c r="V35" s="166" t="s">
        <v>25</v>
      </c>
      <c r="W35" s="166"/>
      <c r="X35" s="166" t="s">
        <v>25</v>
      </c>
      <c r="Y35" s="166"/>
      <c r="Z35" s="166" t="s">
        <v>25</v>
      </c>
      <c r="AA35" s="151"/>
      <c r="AB35" s="152"/>
      <c r="AC35" s="164" t="s">
        <v>225</v>
      </c>
      <c r="AD35" s="152"/>
      <c r="AE35" s="153">
        <v>43271.73332175926</v>
      </c>
      <c r="AF35" s="154" t="s">
        <v>507</v>
      </c>
      <c r="AG35" s="34"/>
      <c r="AH35" s="34"/>
      <c r="AI35" s="34"/>
      <c r="AJ35" s="34"/>
      <c r="AK35" s="34"/>
      <c r="AL35" s="34"/>
      <c r="AM35" s="34"/>
      <c r="AN35" s="34"/>
      <c r="AO35" s="34"/>
      <c r="AP35" s="34"/>
      <c r="AQ35" s="34"/>
      <c r="AR35" s="104"/>
      <c r="AS35" s="104"/>
      <c r="AT35" s="104">
        <v>43271.73332175926</v>
      </c>
      <c r="AU35" s="76" t="s">
        <v>507</v>
      </c>
      <c r="AV35" s="34"/>
      <c r="AW35" s="34"/>
      <c r="AX35" s="34"/>
      <c r="AY35" s="34"/>
      <c r="AZ35" s="34"/>
      <c r="BA35" s="34"/>
      <c r="BB35" s="34"/>
      <c r="BC35" s="34"/>
      <c r="BD35" s="34"/>
      <c r="BE35" s="34"/>
      <c r="BF35" s="34"/>
      <c r="BG35" s="34"/>
    </row>
    <row r="36" spans="1:59" ht="105">
      <c r="A36" s="100"/>
      <c r="B36" s="145" t="s">
        <v>357</v>
      </c>
      <c r="C36" s="146">
        <v>3</v>
      </c>
      <c r="D36" s="147" t="s">
        <v>71</v>
      </c>
      <c r="E36" s="147" t="s">
        <v>475</v>
      </c>
      <c r="F36" s="148" t="s">
        <v>474</v>
      </c>
      <c r="G36" s="149" t="s">
        <v>14</v>
      </c>
      <c r="H36" s="150" t="s">
        <v>5</v>
      </c>
      <c r="I36" s="149" t="s">
        <v>14</v>
      </c>
      <c r="J36" s="150" t="s">
        <v>5</v>
      </c>
      <c r="K36" s="149" t="s">
        <v>15</v>
      </c>
      <c r="L36" s="150" t="s">
        <v>178</v>
      </c>
      <c r="M36" s="149" t="s">
        <v>14</v>
      </c>
      <c r="N36" s="150" t="s">
        <v>5</v>
      </c>
      <c r="O36" s="149" t="s">
        <v>15</v>
      </c>
      <c r="P36" s="150" t="s">
        <v>178</v>
      </c>
      <c r="Q36" s="166"/>
      <c r="R36" s="166" t="s">
        <v>25</v>
      </c>
      <c r="S36" s="166"/>
      <c r="T36" s="166" t="s">
        <v>25</v>
      </c>
      <c r="U36" s="166"/>
      <c r="V36" s="166" t="s">
        <v>25</v>
      </c>
      <c r="W36" s="166"/>
      <c r="X36" s="166" t="s">
        <v>25</v>
      </c>
      <c r="Y36" s="166"/>
      <c r="Z36" s="166" t="s">
        <v>25</v>
      </c>
      <c r="AA36" s="151"/>
      <c r="AB36" s="152"/>
      <c r="AC36" s="164" t="s">
        <v>225</v>
      </c>
      <c r="AD36" s="152"/>
      <c r="AE36" s="153">
        <v>43271.73332175926</v>
      </c>
      <c r="AF36" s="154" t="s">
        <v>507</v>
      </c>
      <c r="AG36" s="34"/>
      <c r="AH36" s="34"/>
      <c r="AI36" s="34"/>
      <c r="AJ36" s="34"/>
      <c r="AK36" s="34"/>
      <c r="AL36" s="34"/>
      <c r="AM36" s="34"/>
      <c r="AN36" s="34"/>
      <c r="AO36" s="34"/>
      <c r="AP36" s="34"/>
      <c r="AQ36" s="34"/>
      <c r="AR36" s="104"/>
      <c r="AS36" s="104"/>
      <c r="AT36" s="104">
        <v>43271.73332175926</v>
      </c>
      <c r="AU36" s="76" t="s">
        <v>507</v>
      </c>
      <c r="AV36" s="34"/>
      <c r="AW36" s="34"/>
      <c r="AX36" s="34"/>
      <c r="AY36" s="34"/>
      <c r="AZ36" s="34"/>
      <c r="BA36" s="34"/>
      <c r="BB36" s="34"/>
      <c r="BC36" s="34"/>
      <c r="BD36" s="34"/>
      <c r="BE36" s="34"/>
      <c r="BF36" s="34"/>
      <c r="BG36" s="34"/>
    </row>
    <row r="37" spans="1:59" ht="60">
      <c r="A37" s="100"/>
      <c r="B37" s="145" t="s">
        <v>358</v>
      </c>
      <c r="C37" s="146">
        <v>5</v>
      </c>
      <c r="D37" s="147" t="s">
        <v>71</v>
      </c>
      <c r="E37" s="147" t="s">
        <v>489</v>
      </c>
      <c r="F37" s="148" t="s">
        <v>313</v>
      </c>
      <c r="G37" s="149" t="s">
        <v>13</v>
      </c>
      <c r="H37" s="150" t="s">
        <v>4</v>
      </c>
      <c r="I37" s="149" t="s">
        <v>13</v>
      </c>
      <c r="J37" s="150" t="s">
        <v>4</v>
      </c>
      <c r="K37" s="149" t="s">
        <v>13</v>
      </c>
      <c r="L37" s="150" t="s">
        <v>4</v>
      </c>
      <c r="M37" s="149" t="s">
        <v>13</v>
      </c>
      <c r="N37" s="150" t="s">
        <v>4</v>
      </c>
      <c r="O37" s="149" t="s">
        <v>13</v>
      </c>
      <c r="P37" s="150" t="s">
        <v>4</v>
      </c>
      <c r="Q37" s="166"/>
      <c r="R37" s="166" t="s">
        <v>25</v>
      </c>
      <c r="S37" s="166"/>
      <c r="T37" s="166" t="s">
        <v>25</v>
      </c>
      <c r="U37" s="166"/>
      <c r="V37" s="166" t="s">
        <v>25</v>
      </c>
      <c r="W37" s="166"/>
      <c r="X37" s="166" t="s">
        <v>25</v>
      </c>
      <c r="Y37" s="166"/>
      <c r="Z37" s="166" t="s">
        <v>25</v>
      </c>
      <c r="AA37" s="151"/>
      <c r="AB37" s="152"/>
      <c r="AC37" s="164" t="s">
        <v>225</v>
      </c>
      <c r="AD37" s="152"/>
      <c r="AE37" s="153">
        <v>43271.73332175926</v>
      </c>
      <c r="AF37" s="154" t="s">
        <v>507</v>
      </c>
      <c r="AG37" s="34"/>
      <c r="AH37" s="34"/>
      <c r="AI37" s="34"/>
      <c r="AJ37" s="34"/>
      <c r="AK37" s="34"/>
      <c r="AL37" s="34"/>
      <c r="AM37" s="34"/>
      <c r="AN37" s="34"/>
      <c r="AO37" s="34"/>
      <c r="AP37" s="34"/>
      <c r="AQ37" s="34"/>
      <c r="AR37" s="104"/>
      <c r="AS37" s="104"/>
      <c r="AT37" s="104">
        <v>43271.73332175926</v>
      </c>
      <c r="AU37" s="76" t="s">
        <v>507</v>
      </c>
      <c r="AV37" s="34"/>
      <c r="AW37" s="34"/>
      <c r="AX37" s="34"/>
      <c r="AY37" s="34"/>
      <c r="AZ37" s="34"/>
      <c r="BA37" s="34"/>
      <c r="BB37" s="34"/>
      <c r="BC37" s="34"/>
      <c r="BD37" s="34"/>
      <c r="BE37" s="34"/>
      <c r="BF37" s="34"/>
      <c r="BG37" s="34"/>
    </row>
    <row r="38" spans="1:59" ht="60">
      <c r="A38" s="100"/>
      <c r="B38" s="145" t="s">
        <v>359</v>
      </c>
      <c r="C38" s="146">
        <v>5</v>
      </c>
      <c r="D38" s="147" t="s">
        <v>71</v>
      </c>
      <c r="E38" s="147" t="s">
        <v>490</v>
      </c>
      <c r="F38" s="148" t="s">
        <v>314</v>
      </c>
      <c r="G38" s="149" t="s">
        <v>13</v>
      </c>
      <c r="H38" s="150" t="s">
        <v>4</v>
      </c>
      <c r="I38" s="149" t="s">
        <v>13</v>
      </c>
      <c r="J38" s="150" t="s">
        <v>4</v>
      </c>
      <c r="K38" s="149" t="s">
        <v>13</v>
      </c>
      <c r="L38" s="150" t="s">
        <v>4</v>
      </c>
      <c r="M38" s="149" t="s">
        <v>13</v>
      </c>
      <c r="N38" s="150" t="s">
        <v>4</v>
      </c>
      <c r="O38" s="149" t="s">
        <v>13</v>
      </c>
      <c r="P38" s="150" t="s">
        <v>4</v>
      </c>
      <c r="Q38" s="166"/>
      <c r="R38" s="166" t="s">
        <v>25</v>
      </c>
      <c r="S38" s="166"/>
      <c r="T38" s="166" t="s">
        <v>25</v>
      </c>
      <c r="U38" s="166"/>
      <c r="V38" s="166" t="s">
        <v>25</v>
      </c>
      <c r="W38" s="166"/>
      <c r="X38" s="166" t="s">
        <v>25</v>
      </c>
      <c r="Y38" s="166"/>
      <c r="Z38" s="166" t="s">
        <v>25</v>
      </c>
      <c r="AA38" s="151"/>
      <c r="AB38" s="152"/>
      <c r="AC38" s="164" t="s">
        <v>225</v>
      </c>
      <c r="AD38" s="152"/>
      <c r="AE38" s="153">
        <v>43271.73332175926</v>
      </c>
      <c r="AF38" s="154" t="s">
        <v>507</v>
      </c>
      <c r="AG38" s="34"/>
      <c r="AH38" s="34"/>
      <c r="AI38" s="34"/>
      <c r="AJ38" s="34"/>
      <c r="AK38" s="34"/>
      <c r="AL38" s="34"/>
      <c r="AM38" s="34"/>
      <c r="AN38" s="34"/>
      <c r="AO38" s="34"/>
      <c r="AP38" s="34"/>
      <c r="AQ38" s="34"/>
      <c r="AR38" s="104"/>
      <c r="AS38" s="104"/>
      <c r="AT38" s="104">
        <v>43271.73332175926</v>
      </c>
      <c r="AU38" s="76" t="s">
        <v>507</v>
      </c>
      <c r="AV38" s="34"/>
      <c r="AW38" s="34"/>
      <c r="AX38" s="34"/>
      <c r="AY38" s="34"/>
      <c r="AZ38" s="34"/>
      <c r="BA38" s="34"/>
      <c r="BB38" s="34"/>
      <c r="BC38" s="34"/>
      <c r="BD38" s="34"/>
      <c r="BE38" s="34"/>
      <c r="BF38" s="34"/>
      <c r="BG38" s="34"/>
    </row>
    <row r="39" spans="1:59" ht="45">
      <c r="A39" s="100"/>
      <c r="B39" s="145" t="s">
        <v>360</v>
      </c>
      <c r="C39" s="146">
        <v>8</v>
      </c>
      <c r="D39" s="147" t="s">
        <v>71</v>
      </c>
      <c r="E39" s="184" t="s">
        <v>491</v>
      </c>
      <c r="F39" s="148" t="s">
        <v>492</v>
      </c>
      <c r="G39" s="149" t="s">
        <v>13</v>
      </c>
      <c r="H39" s="150" t="s">
        <v>4</v>
      </c>
      <c r="I39" s="149" t="s">
        <v>13</v>
      </c>
      <c r="J39" s="150" t="s">
        <v>4</v>
      </c>
      <c r="K39" s="149" t="s">
        <v>13</v>
      </c>
      <c r="L39" s="150" t="s">
        <v>4</v>
      </c>
      <c r="M39" s="149" t="s">
        <v>13</v>
      </c>
      <c r="N39" s="150" t="s">
        <v>4</v>
      </c>
      <c r="O39" s="149" t="s">
        <v>14</v>
      </c>
      <c r="P39" s="150" t="s">
        <v>5</v>
      </c>
      <c r="Q39" s="166"/>
      <c r="R39" s="166" t="s">
        <v>25</v>
      </c>
      <c r="S39" s="166"/>
      <c r="T39" s="166" t="s">
        <v>25</v>
      </c>
      <c r="U39" s="166"/>
      <c r="V39" s="166" t="s">
        <v>25</v>
      </c>
      <c r="W39" s="166"/>
      <c r="X39" s="166" t="s">
        <v>25</v>
      </c>
      <c r="Y39" s="166"/>
      <c r="Z39" s="166" t="s">
        <v>25</v>
      </c>
      <c r="AA39" s="151"/>
      <c r="AB39" s="172" t="s">
        <v>518</v>
      </c>
      <c r="AC39" s="164" t="s">
        <v>225</v>
      </c>
      <c r="AD39" s="152"/>
      <c r="AE39" s="153">
        <v>43283.700937499998</v>
      </c>
      <c r="AF39" s="154" t="s">
        <v>507</v>
      </c>
      <c r="AG39" s="34"/>
      <c r="AH39" s="34"/>
      <c r="AI39" s="34"/>
      <c r="AJ39" s="34"/>
      <c r="AK39" s="34"/>
      <c r="AL39" s="34"/>
      <c r="AM39" s="34"/>
      <c r="AN39" s="34"/>
      <c r="AO39" s="34"/>
      <c r="AP39" s="34"/>
      <c r="AQ39" s="34"/>
      <c r="AR39" s="104"/>
      <c r="AS39" s="104"/>
      <c r="AT39" s="104">
        <v>43283.700937499998</v>
      </c>
      <c r="AU39" s="76" t="s">
        <v>507</v>
      </c>
      <c r="AV39" s="34"/>
      <c r="AW39" s="34"/>
      <c r="AX39" s="34"/>
      <c r="AY39" s="34"/>
      <c r="AZ39" s="34"/>
      <c r="BA39" s="34"/>
      <c r="BB39" s="34"/>
      <c r="BC39" s="34"/>
      <c r="BD39" s="34"/>
      <c r="BE39" s="34"/>
      <c r="BF39" s="34"/>
      <c r="BG39" s="34"/>
    </row>
    <row r="40" spans="1:59" ht="45">
      <c r="A40" s="100"/>
      <c r="B40" s="145" t="s">
        <v>361</v>
      </c>
      <c r="C40" s="146">
        <v>4</v>
      </c>
      <c r="D40" s="147" t="s">
        <v>71</v>
      </c>
      <c r="E40" s="147" t="s">
        <v>464</v>
      </c>
      <c r="F40" s="182" t="s">
        <v>459</v>
      </c>
      <c r="G40" s="149" t="s">
        <v>13</v>
      </c>
      <c r="H40" s="150" t="s">
        <v>4</v>
      </c>
      <c r="I40" s="149" t="s">
        <v>13</v>
      </c>
      <c r="J40" s="150" t="s">
        <v>4</v>
      </c>
      <c r="K40" s="149" t="s">
        <v>15</v>
      </c>
      <c r="L40" s="150" t="s">
        <v>178</v>
      </c>
      <c r="M40" s="149" t="s">
        <v>15</v>
      </c>
      <c r="N40" s="150" t="s">
        <v>178</v>
      </c>
      <c r="O40" s="149" t="s">
        <v>15</v>
      </c>
      <c r="P40" s="150" t="s">
        <v>178</v>
      </c>
      <c r="Q40" s="166"/>
      <c r="R40" s="166" t="s">
        <v>25</v>
      </c>
      <c r="S40" s="166"/>
      <c r="T40" s="166" t="s">
        <v>25</v>
      </c>
      <c r="U40" s="166"/>
      <c r="V40" s="166" t="s">
        <v>25</v>
      </c>
      <c r="W40" s="166"/>
      <c r="X40" s="166" t="s">
        <v>25</v>
      </c>
      <c r="Y40" s="166"/>
      <c r="Z40" s="166" t="s">
        <v>25</v>
      </c>
      <c r="AA40" s="151"/>
      <c r="AB40" s="152" t="s">
        <v>469</v>
      </c>
      <c r="AC40" s="164" t="s">
        <v>225</v>
      </c>
      <c r="AD40" s="152"/>
      <c r="AE40" s="153">
        <v>43271.73332175926</v>
      </c>
      <c r="AF40" s="154" t="s">
        <v>507</v>
      </c>
      <c r="AG40" s="34"/>
      <c r="AH40" s="34"/>
      <c r="AI40" s="34"/>
      <c r="AJ40" s="34"/>
      <c r="AK40" s="34"/>
      <c r="AL40" s="34"/>
      <c r="AM40" s="34"/>
      <c r="AN40" s="34"/>
      <c r="AO40" s="34"/>
      <c r="AP40" s="34"/>
      <c r="AQ40" s="34"/>
      <c r="AR40" s="104"/>
      <c r="AS40" s="104"/>
      <c r="AT40" s="104">
        <v>43271.73332175926</v>
      </c>
      <c r="AU40" s="76" t="s">
        <v>507</v>
      </c>
      <c r="AV40" s="34"/>
      <c r="AW40" s="34"/>
      <c r="AX40" s="34"/>
      <c r="AY40" s="34"/>
      <c r="AZ40" s="34"/>
      <c r="BA40" s="34"/>
      <c r="BB40" s="34"/>
      <c r="BC40" s="34"/>
      <c r="BD40" s="34"/>
      <c r="BE40" s="34"/>
      <c r="BF40" s="34"/>
      <c r="BG40" s="34"/>
    </row>
    <row r="41" spans="1:59" ht="45">
      <c r="A41" s="100"/>
      <c r="B41" s="145" t="s">
        <v>362</v>
      </c>
      <c r="C41" s="146">
        <v>4</v>
      </c>
      <c r="D41" s="147" t="s">
        <v>71</v>
      </c>
      <c r="E41" s="147" t="s">
        <v>463</v>
      </c>
      <c r="F41" s="182" t="s">
        <v>460</v>
      </c>
      <c r="G41" s="149" t="s">
        <v>13</v>
      </c>
      <c r="H41" s="150" t="s">
        <v>4</v>
      </c>
      <c r="I41" s="149" t="s">
        <v>13</v>
      </c>
      <c r="J41" s="150" t="s">
        <v>4</v>
      </c>
      <c r="K41" s="149" t="s">
        <v>15</v>
      </c>
      <c r="L41" s="150" t="s">
        <v>178</v>
      </c>
      <c r="M41" s="149" t="s">
        <v>15</v>
      </c>
      <c r="N41" s="150" t="s">
        <v>178</v>
      </c>
      <c r="O41" s="149" t="s">
        <v>15</v>
      </c>
      <c r="P41" s="150" t="s">
        <v>178</v>
      </c>
      <c r="Q41" s="166"/>
      <c r="R41" s="166" t="s">
        <v>25</v>
      </c>
      <c r="S41" s="166"/>
      <c r="T41" s="166" t="s">
        <v>25</v>
      </c>
      <c r="U41" s="166"/>
      <c r="V41" s="166" t="s">
        <v>25</v>
      </c>
      <c r="W41" s="166"/>
      <c r="X41" s="166" t="s">
        <v>25</v>
      </c>
      <c r="Y41" s="166"/>
      <c r="Z41" s="166" t="s">
        <v>25</v>
      </c>
      <c r="AA41" s="151"/>
      <c r="AB41" s="152"/>
      <c r="AC41" s="164" t="s">
        <v>225</v>
      </c>
      <c r="AD41" s="152"/>
      <c r="AE41" s="153">
        <v>43271.73332175926</v>
      </c>
      <c r="AF41" s="154" t="s">
        <v>507</v>
      </c>
      <c r="AG41" s="34"/>
      <c r="AH41" s="34"/>
      <c r="AI41" s="34"/>
      <c r="AJ41" s="34"/>
      <c r="AK41" s="34"/>
      <c r="AL41" s="34"/>
      <c r="AM41" s="34"/>
      <c r="AN41" s="34"/>
      <c r="AO41" s="34"/>
      <c r="AP41" s="34"/>
      <c r="AQ41" s="34"/>
      <c r="AR41" s="104"/>
      <c r="AS41" s="104"/>
      <c r="AT41" s="104">
        <v>43271.73332175926</v>
      </c>
      <c r="AU41" s="76" t="s">
        <v>507</v>
      </c>
      <c r="AV41" s="34"/>
      <c r="AW41" s="34"/>
      <c r="AX41" s="34"/>
      <c r="AY41" s="34"/>
      <c r="AZ41" s="34"/>
      <c r="BA41" s="34"/>
      <c r="BB41" s="34"/>
      <c r="BC41" s="34"/>
      <c r="BD41" s="34"/>
      <c r="BE41" s="34"/>
      <c r="BF41" s="34"/>
      <c r="BG41" s="34"/>
    </row>
    <row r="42" spans="1:59" ht="45">
      <c r="A42" s="100"/>
      <c r="B42" s="145" t="s">
        <v>363</v>
      </c>
      <c r="C42" s="146">
        <v>4</v>
      </c>
      <c r="D42" s="147" t="s">
        <v>71</v>
      </c>
      <c r="E42" s="147" t="s">
        <v>462</v>
      </c>
      <c r="F42" s="182" t="s">
        <v>461</v>
      </c>
      <c r="G42" s="149" t="s">
        <v>13</v>
      </c>
      <c r="H42" s="150" t="s">
        <v>4</v>
      </c>
      <c r="I42" s="149" t="s">
        <v>13</v>
      </c>
      <c r="J42" s="150" t="s">
        <v>4</v>
      </c>
      <c r="K42" s="149" t="s">
        <v>15</v>
      </c>
      <c r="L42" s="150" t="s">
        <v>178</v>
      </c>
      <c r="M42" s="149" t="s">
        <v>15</v>
      </c>
      <c r="N42" s="150" t="s">
        <v>178</v>
      </c>
      <c r="O42" s="149" t="s">
        <v>15</v>
      </c>
      <c r="P42" s="150" t="s">
        <v>178</v>
      </c>
      <c r="Q42" s="166"/>
      <c r="R42" s="166" t="s">
        <v>25</v>
      </c>
      <c r="S42" s="166"/>
      <c r="T42" s="166" t="s">
        <v>25</v>
      </c>
      <c r="U42" s="166"/>
      <c r="V42" s="166" t="s">
        <v>25</v>
      </c>
      <c r="W42" s="166"/>
      <c r="X42" s="166" t="s">
        <v>25</v>
      </c>
      <c r="Y42" s="166"/>
      <c r="Z42" s="166" t="s">
        <v>25</v>
      </c>
      <c r="AA42" s="151"/>
      <c r="AB42" s="152"/>
      <c r="AC42" s="164" t="s">
        <v>225</v>
      </c>
      <c r="AD42" s="152"/>
      <c r="AE42" s="153">
        <v>43271.73332175926</v>
      </c>
      <c r="AF42" s="154" t="s">
        <v>507</v>
      </c>
      <c r="AG42" s="34"/>
      <c r="AH42" s="34"/>
      <c r="AI42" s="34"/>
      <c r="AJ42" s="34"/>
      <c r="AK42" s="34"/>
      <c r="AL42" s="34"/>
      <c r="AM42" s="34"/>
      <c r="AN42" s="34"/>
      <c r="AO42" s="34"/>
      <c r="AP42" s="34"/>
      <c r="AQ42" s="34"/>
      <c r="AR42" s="104"/>
      <c r="AS42" s="104"/>
      <c r="AT42" s="104">
        <v>43271.73332175926</v>
      </c>
      <c r="AU42" s="76" t="s">
        <v>507</v>
      </c>
      <c r="AV42" s="34"/>
      <c r="AW42" s="34"/>
      <c r="AX42" s="34"/>
      <c r="AY42" s="34"/>
      <c r="AZ42" s="34"/>
      <c r="BA42" s="34"/>
      <c r="BB42" s="34"/>
      <c r="BC42" s="34"/>
      <c r="BD42" s="34"/>
      <c r="BE42" s="34"/>
      <c r="BF42" s="34"/>
      <c r="BG42" s="34"/>
    </row>
    <row r="43" spans="1:59" ht="120">
      <c r="A43" s="100"/>
      <c r="B43" s="145" t="s">
        <v>364</v>
      </c>
      <c r="C43" s="146">
        <v>5</v>
      </c>
      <c r="D43" s="147" t="s">
        <v>71</v>
      </c>
      <c r="E43" s="184" t="s">
        <v>493</v>
      </c>
      <c r="F43" s="148" t="s">
        <v>419</v>
      </c>
      <c r="G43" s="149" t="s">
        <v>13</v>
      </c>
      <c r="H43" s="150" t="s">
        <v>4</v>
      </c>
      <c r="I43" s="149" t="s">
        <v>13</v>
      </c>
      <c r="J43" s="150" t="s">
        <v>4</v>
      </c>
      <c r="K43" s="149" t="s">
        <v>15</v>
      </c>
      <c r="L43" s="150" t="s">
        <v>178</v>
      </c>
      <c r="M43" s="149" t="s">
        <v>15</v>
      </c>
      <c r="N43" s="150" t="s">
        <v>178</v>
      </c>
      <c r="O43" s="149" t="s">
        <v>15</v>
      </c>
      <c r="P43" s="150" t="s">
        <v>178</v>
      </c>
      <c r="Q43" s="166"/>
      <c r="R43" s="166" t="s">
        <v>25</v>
      </c>
      <c r="S43" s="166"/>
      <c r="T43" s="166" t="s">
        <v>25</v>
      </c>
      <c r="U43" s="166"/>
      <c r="V43" s="166" t="s">
        <v>25</v>
      </c>
      <c r="W43" s="166"/>
      <c r="X43" s="166" t="s">
        <v>25</v>
      </c>
      <c r="Y43" s="166"/>
      <c r="Z43" s="166" t="s">
        <v>25</v>
      </c>
      <c r="AA43" s="151"/>
      <c r="AB43" s="152"/>
      <c r="AC43" s="164" t="s">
        <v>225</v>
      </c>
      <c r="AD43" s="152"/>
      <c r="AE43" s="153">
        <v>43271.73332175926</v>
      </c>
      <c r="AF43" s="154" t="s">
        <v>507</v>
      </c>
      <c r="AG43" s="34"/>
      <c r="AH43" s="34"/>
      <c r="AI43" s="34"/>
      <c r="AJ43" s="34"/>
      <c r="AK43" s="34"/>
      <c r="AL43" s="34"/>
      <c r="AM43" s="34"/>
      <c r="AN43" s="34"/>
      <c r="AO43" s="34"/>
      <c r="AP43" s="34"/>
      <c r="AQ43" s="34"/>
      <c r="AR43" s="104"/>
      <c r="AS43" s="104"/>
      <c r="AT43" s="104">
        <v>43271.73332175926</v>
      </c>
      <c r="AU43" s="76" t="s">
        <v>507</v>
      </c>
      <c r="AV43" s="34"/>
      <c r="AW43" s="34"/>
      <c r="AX43" s="34"/>
      <c r="AY43" s="34"/>
      <c r="AZ43" s="34"/>
      <c r="BA43" s="34"/>
      <c r="BB43" s="34"/>
      <c r="BC43" s="34"/>
      <c r="BD43" s="34"/>
      <c r="BE43" s="34"/>
      <c r="BF43" s="34"/>
      <c r="BG43" s="34"/>
    </row>
    <row r="44" spans="1:59" ht="45">
      <c r="A44" s="100"/>
      <c r="B44" s="145" t="s">
        <v>465</v>
      </c>
      <c r="C44" s="146">
        <v>4</v>
      </c>
      <c r="D44" s="147" t="s">
        <v>71</v>
      </c>
      <c r="E44" s="147" t="s">
        <v>494</v>
      </c>
      <c r="F44" s="148" t="s">
        <v>311</v>
      </c>
      <c r="G44" s="149" t="s">
        <v>13</v>
      </c>
      <c r="H44" s="150" t="s">
        <v>4</v>
      </c>
      <c r="I44" s="149" t="s">
        <v>13</v>
      </c>
      <c r="J44" s="150" t="s">
        <v>4</v>
      </c>
      <c r="K44" s="149" t="s">
        <v>15</v>
      </c>
      <c r="L44" s="150" t="s">
        <v>178</v>
      </c>
      <c r="M44" s="149" t="s">
        <v>15</v>
      </c>
      <c r="N44" s="150" t="s">
        <v>178</v>
      </c>
      <c r="O44" s="149" t="s">
        <v>15</v>
      </c>
      <c r="P44" s="150" t="s">
        <v>178</v>
      </c>
      <c r="Q44" s="166"/>
      <c r="R44" s="166" t="s">
        <v>25</v>
      </c>
      <c r="S44" s="166"/>
      <c r="T44" s="166" t="s">
        <v>25</v>
      </c>
      <c r="U44" s="166"/>
      <c r="V44" s="166" t="s">
        <v>25</v>
      </c>
      <c r="W44" s="166"/>
      <c r="X44" s="166" t="s">
        <v>25</v>
      </c>
      <c r="Y44" s="166"/>
      <c r="Z44" s="166" t="s">
        <v>25</v>
      </c>
      <c r="AA44" s="151"/>
      <c r="AB44" s="152"/>
      <c r="AC44" s="164" t="s">
        <v>225</v>
      </c>
      <c r="AD44" s="152"/>
      <c r="AE44" s="153">
        <v>43271.73332175926</v>
      </c>
      <c r="AF44" s="154" t="s">
        <v>507</v>
      </c>
      <c r="AG44" s="34"/>
      <c r="AH44" s="34"/>
      <c r="AI44" s="34"/>
      <c r="AJ44" s="34"/>
      <c r="AK44" s="34"/>
      <c r="AL44" s="34"/>
      <c r="AM44" s="34"/>
      <c r="AN44" s="34"/>
      <c r="AO44" s="34"/>
      <c r="AP44" s="34"/>
      <c r="AQ44" s="34"/>
      <c r="AR44" s="104"/>
      <c r="AS44" s="104"/>
      <c r="AT44" s="104">
        <v>43271.73332175926</v>
      </c>
      <c r="AU44" s="76" t="s">
        <v>507</v>
      </c>
      <c r="AV44" s="34"/>
      <c r="AW44" s="34"/>
      <c r="AX44" s="34"/>
      <c r="AY44" s="34"/>
      <c r="AZ44" s="34"/>
      <c r="BA44" s="34"/>
      <c r="BB44" s="34"/>
      <c r="BC44" s="34"/>
      <c r="BD44" s="34"/>
      <c r="BE44" s="34"/>
      <c r="BF44" s="34"/>
      <c r="BG44" s="34"/>
    </row>
    <row r="45" spans="1:59" ht="45">
      <c r="A45" s="100"/>
      <c r="B45" s="145" t="s">
        <v>365</v>
      </c>
      <c r="C45" s="146">
        <v>5</v>
      </c>
      <c r="D45" s="147" t="s">
        <v>71</v>
      </c>
      <c r="E45" s="147" t="s">
        <v>495</v>
      </c>
      <c r="F45" s="148" t="s">
        <v>420</v>
      </c>
      <c r="G45" s="149" t="s">
        <v>13</v>
      </c>
      <c r="H45" s="150" t="s">
        <v>4</v>
      </c>
      <c r="I45" s="149" t="s">
        <v>13</v>
      </c>
      <c r="J45" s="150" t="s">
        <v>4</v>
      </c>
      <c r="K45" s="149" t="s">
        <v>15</v>
      </c>
      <c r="L45" s="150" t="s">
        <v>178</v>
      </c>
      <c r="M45" s="149" t="s">
        <v>15</v>
      </c>
      <c r="N45" s="150" t="s">
        <v>178</v>
      </c>
      <c r="O45" s="149" t="s">
        <v>15</v>
      </c>
      <c r="P45" s="150" t="s">
        <v>178</v>
      </c>
      <c r="Q45" s="166"/>
      <c r="R45" s="166" t="s">
        <v>25</v>
      </c>
      <c r="S45" s="166"/>
      <c r="T45" s="166" t="s">
        <v>25</v>
      </c>
      <c r="U45" s="166"/>
      <c r="V45" s="166" t="s">
        <v>25</v>
      </c>
      <c r="W45" s="166"/>
      <c r="X45" s="166" t="s">
        <v>25</v>
      </c>
      <c r="Y45" s="166"/>
      <c r="Z45" s="166" t="s">
        <v>25</v>
      </c>
      <c r="AA45" s="151"/>
      <c r="AB45" s="152"/>
      <c r="AC45" s="164" t="s">
        <v>225</v>
      </c>
      <c r="AD45" s="152"/>
      <c r="AE45" s="153">
        <v>43271.73332175926</v>
      </c>
      <c r="AF45" s="154" t="s">
        <v>507</v>
      </c>
      <c r="AG45" s="34"/>
      <c r="AH45" s="34"/>
      <c r="AI45" s="34"/>
      <c r="AJ45" s="34"/>
      <c r="AK45" s="34"/>
      <c r="AL45" s="34"/>
      <c r="AM45" s="34"/>
      <c r="AN45" s="34"/>
      <c r="AO45" s="34"/>
      <c r="AP45" s="34"/>
      <c r="AQ45" s="34"/>
      <c r="AR45" s="104"/>
      <c r="AS45" s="104"/>
      <c r="AT45" s="104">
        <v>43271.73332175926</v>
      </c>
      <c r="AU45" s="76" t="s">
        <v>507</v>
      </c>
      <c r="AV45" s="34"/>
      <c r="AW45" s="34"/>
      <c r="AX45" s="34"/>
      <c r="AY45" s="34"/>
      <c r="AZ45" s="34"/>
      <c r="BA45" s="34"/>
      <c r="BB45" s="34"/>
      <c r="BC45" s="34"/>
      <c r="BD45" s="34"/>
      <c r="BE45" s="34"/>
      <c r="BF45" s="34"/>
      <c r="BG45" s="34"/>
    </row>
    <row r="46" spans="1:59" ht="90">
      <c r="A46" s="100"/>
      <c r="B46" s="145" t="s">
        <v>466</v>
      </c>
      <c r="C46" s="146">
        <v>6</v>
      </c>
      <c r="D46" s="147" t="s">
        <v>71</v>
      </c>
      <c r="E46" s="147" t="s">
        <v>384</v>
      </c>
      <c r="F46" s="148" t="s">
        <v>298</v>
      </c>
      <c r="G46" s="149" t="s">
        <v>13</v>
      </c>
      <c r="H46" s="150" t="s">
        <v>4</v>
      </c>
      <c r="I46" s="149" t="s">
        <v>13</v>
      </c>
      <c r="J46" s="150" t="s">
        <v>4</v>
      </c>
      <c r="K46" s="149" t="s">
        <v>13</v>
      </c>
      <c r="L46" s="150" t="s">
        <v>4</v>
      </c>
      <c r="M46" s="149" t="s">
        <v>15</v>
      </c>
      <c r="N46" s="150" t="s">
        <v>178</v>
      </c>
      <c r="O46" s="149" t="s">
        <v>15</v>
      </c>
      <c r="P46" s="150" t="s">
        <v>178</v>
      </c>
      <c r="Q46" s="166" t="s">
        <v>15</v>
      </c>
      <c r="R46" s="166" t="s">
        <v>178</v>
      </c>
      <c r="S46" s="166" t="s">
        <v>15</v>
      </c>
      <c r="T46" s="166" t="s">
        <v>178</v>
      </c>
      <c r="U46" s="166" t="s">
        <v>15</v>
      </c>
      <c r="V46" s="166" t="s">
        <v>178</v>
      </c>
      <c r="W46" s="166" t="s">
        <v>15</v>
      </c>
      <c r="X46" s="166" t="s">
        <v>178</v>
      </c>
      <c r="Y46" s="166" t="s">
        <v>15</v>
      </c>
      <c r="Z46" s="166" t="s">
        <v>178</v>
      </c>
      <c r="AA46" s="151"/>
      <c r="AB46" s="152" t="s">
        <v>519</v>
      </c>
      <c r="AC46" s="164" t="s">
        <v>225</v>
      </c>
      <c r="AD46" s="152"/>
      <c r="AE46" s="153">
        <v>43283.700185185182</v>
      </c>
      <c r="AF46" s="154" t="s">
        <v>507</v>
      </c>
      <c r="AG46" s="34"/>
      <c r="AH46" s="34"/>
      <c r="AI46" s="34"/>
      <c r="AJ46" s="34"/>
      <c r="AK46" s="34"/>
      <c r="AL46" s="34"/>
      <c r="AM46" s="34"/>
      <c r="AN46" s="34"/>
      <c r="AO46" s="34"/>
      <c r="AP46" s="34"/>
      <c r="AQ46" s="34"/>
      <c r="AR46" s="104"/>
      <c r="AS46" s="104"/>
      <c r="AT46" s="104">
        <v>43283.700185185182</v>
      </c>
      <c r="AU46" s="76" t="s">
        <v>507</v>
      </c>
      <c r="AV46" s="34"/>
      <c r="AW46" s="34"/>
      <c r="AX46" s="34"/>
      <c r="AY46" s="34"/>
      <c r="AZ46" s="34"/>
      <c r="BA46" s="34"/>
      <c r="BB46" s="34"/>
      <c r="BC46" s="34"/>
      <c r="BD46" s="34"/>
      <c r="BE46" s="34"/>
      <c r="BF46" s="34"/>
      <c r="BG46" s="34"/>
    </row>
    <row r="47" spans="1:59" ht="60">
      <c r="A47" s="100"/>
      <c r="B47" s="145" t="s">
        <v>366</v>
      </c>
      <c r="C47" s="146">
        <v>6</v>
      </c>
      <c r="D47" s="147" t="s">
        <v>71</v>
      </c>
      <c r="E47" s="147" t="s">
        <v>385</v>
      </c>
      <c r="F47" s="148" t="s">
        <v>299</v>
      </c>
      <c r="G47" s="149" t="s">
        <v>13</v>
      </c>
      <c r="H47" s="150" t="s">
        <v>4</v>
      </c>
      <c r="I47" s="149" t="s">
        <v>13</v>
      </c>
      <c r="J47" s="150" t="s">
        <v>4</v>
      </c>
      <c r="K47" s="149" t="s">
        <v>13</v>
      </c>
      <c r="L47" s="150" t="s">
        <v>4</v>
      </c>
      <c r="M47" s="149" t="s">
        <v>15</v>
      </c>
      <c r="N47" s="150" t="s">
        <v>178</v>
      </c>
      <c r="O47" s="149" t="s">
        <v>15</v>
      </c>
      <c r="P47" s="150" t="s">
        <v>178</v>
      </c>
      <c r="Q47" s="166" t="s">
        <v>15</v>
      </c>
      <c r="R47" s="166" t="s">
        <v>178</v>
      </c>
      <c r="S47" s="166" t="s">
        <v>15</v>
      </c>
      <c r="T47" s="166" t="s">
        <v>178</v>
      </c>
      <c r="U47" s="166" t="s">
        <v>15</v>
      </c>
      <c r="V47" s="166" t="s">
        <v>178</v>
      </c>
      <c r="W47" s="166" t="s">
        <v>15</v>
      </c>
      <c r="X47" s="166" t="s">
        <v>178</v>
      </c>
      <c r="Y47" s="166" t="s">
        <v>15</v>
      </c>
      <c r="Z47" s="166" t="s">
        <v>178</v>
      </c>
      <c r="AA47" s="151"/>
      <c r="AB47" s="152" t="s">
        <v>519</v>
      </c>
      <c r="AC47" s="164" t="s">
        <v>225</v>
      </c>
      <c r="AD47" s="152"/>
      <c r="AE47" s="153">
        <v>43283.700185185182</v>
      </c>
      <c r="AF47" s="154" t="s">
        <v>507</v>
      </c>
      <c r="AG47" s="34"/>
      <c r="AH47" s="34"/>
      <c r="AI47" s="34"/>
      <c r="AJ47" s="34"/>
      <c r="AK47" s="34"/>
      <c r="AL47" s="34"/>
      <c r="AM47" s="34"/>
      <c r="AN47" s="34"/>
      <c r="AO47" s="34"/>
      <c r="AP47" s="34"/>
      <c r="AQ47" s="34"/>
      <c r="AR47" s="104"/>
      <c r="AS47" s="104"/>
      <c r="AT47" s="104">
        <v>43283.700185185182</v>
      </c>
      <c r="AU47" s="76" t="s">
        <v>507</v>
      </c>
      <c r="AV47" s="34"/>
      <c r="AW47" s="34"/>
      <c r="AX47" s="34"/>
      <c r="AY47" s="34"/>
      <c r="AZ47" s="34"/>
      <c r="BA47" s="34"/>
      <c r="BB47" s="34"/>
      <c r="BC47" s="34"/>
      <c r="BD47" s="34"/>
      <c r="BE47" s="34"/>
      <c r="BF47" s="34"/>
      <c r="BG47" s="34"/>
    </row>
    <row r="48" spans="1:59" ht="60">
      <c r="A48" s="100"/>
      <c r="B48" s="145" t="s">
        <v>367</v>
      </c>
      <c r="C48" s="146">
        <v>5</v>
      </c>
      <c r="D48" s="147" t="s">
        <v>71</v>
      </c>
      <c r="E48" s="147" t="s">
        <v>386</v>
      </c>
      <c r="F48" s="148" t="s">
        <v>300</v>
      </c>
      <c r="G48" s="149" t="s">
        <v>13</v>
      </c>
      <c r="H48" s="150" t="s">
        <v>4</v>
      </c>
      <c r="I48" s="149" t="s">
        <v>13</v>
      </c>
      <c r="J48" s="150" t="s">
        <v>4</v>
      </c>
      <c r="K48" s="149" t="s">
        <v>13</v>
      </c>
      <c r="L48" s="150" t="s">
        <v>4</v>
      </c>
      <c r="M48" s="149" t="s">
        <v>15</v>
      </c>
      <c r="N48" s="150" t="s">
        <v>178</v>
      </c>
      <c r="O48" s="149" t="s">
        <v>15</v>
      </c>
      <c r="P48" s="150" t="s">
        <v>178</v>
      </c>
      <c r="Q48" s="166" t="s">
        <v>15</v>
      </c>
      <c r="R48" s="166" t="s">
        <v>178</v>
      </c>
      <c r="S48" s="166" t="s">
        <v>15</v>
      </c>
      <c r="T48" s="166" t="s">
        <v>178</v>
      </c>
      <c r="U48" s="166" t="s">
        <v>15</v>
      </c>
      <c r="V48" s="166" t="s">
        <v>178</v>
      </c>
      <c r="W48" s="166" t="s">
        <v>15</v>
      </c>
      <c r="X48" s="166" t="s">
        <v>178</v>
      </c>
      <c r="Y48" s="166" t="s">
        <v>15</v>
      </c>
      <c r="Z48" s="166" t="s">
        <v>178</v>
      </c>
      <c r="AA48" s="151"/>
      <c r="AB48" s="152" t="s">
        <v>519</v>
      </c>
      <c r="AC48" s="164" t="s">
        <v>225</v>
      </c>
      <c r="AD48" s="152"/>
      <c r="AE48" s="153">
        <v>43283.700185185182</v>
      </c>
      <c r="AF48" s="154" t="s">
        <v>507</v>
      </c>
      <c r="AG48" s="34"/>
      <c r="AH48" s="34"/>
      <c r="AI48" s="34"/>
      <c r="AJ48" s="34"/>
      <c r="AK48" s="34"/>
      <c r="AL48" s="34"/>
      <c r="AM48" s="34"/>
      <c r="AN48" s="34"/>
      <c r="AO48" s="34"/>
      <c r="AP48" s="34"/>
      <c r="AQ48" s="34"/>
      <c r="AR48" s="104"/>
      <c r="AS48" s="104"/>
      <c r="AT48" s="104">
        <v>43283.700185185182</v>
      </c>
      <c r="AU48" s="76" t="s">
        <v>507</v>
      </c>
      <c r="AV48" s="34"/>
      <c r="AW48" s="34"/>
      <c r="AX48" s="34"/>
      <c r="AY48" s="34"/>
      <c r="AZ48" s="34"/>
      <c r="BA48" s="34"/>
      <c r="BB48" s="34"/>
      <c r="BC48" s="34"/>
      <c r="BD48" s="34"/>
      <c r="BE48" s="34"/>
      <c r="BF48" s="34"/>
      <c r="BG48" s="34"/>
    </row>
    <row r="49" spans="1:59" ht="135">
      <c r="A49" s="100"/>
      <c r="B49" s="145" t="s">
        <v>368</v>
      </c>
      <c r="C49" s="146">
        <v>5</v>
      </c>
      <c r="D49" s="147" t="s">
        <v>71</v>
      </c>
      <c r="E49" s="147" t="s">
        <v>387</v>
      </c>
      <c r="F49" s="148" t="s">
        <v>301</v>
      </c>
      <c r="G49" s="149" t="s">
        <v>13</v>
      </c>
      <c r="H49" s="150" t="s">
        <v>4</v>
      </c>
      <c r="I49" s="149" t="s">
        <v>13</v>
      </c>
      <c r="J49" s="150" t="s">
        <v>4</v>
      </c>
      <c r="K49" s="149" t="s">
        <v>13</v>
      </c>
      <c r="L49" s="150" t="s">
        <v>4</v>
      </c>
      <c r="M49" s="149" t="s">
        <v>15</v>
      </c>
      <c r="N49" s="150" t="s">
        <v>178</v>
      </c>
      <c r="O49" s="149" t="s">
        <v>15</v>
      </c>
      <c r="P49" s="150" t="s">
        <v>178</v>
      </c>
      <c r="Q49" s="166" t="s">
        <v>15</v>
      </c>
      <c r="R49" s="166" t="s">
        <v>178</v>
      </c>
      <c r="S49" s="166" t="s">
        <v>15</v>
      </c>
      <c r="T49" s="166" t="s">
        <v>178</v>
      </c>
      <c r="U49" s="166" t="s">
        <v>15</v>
      </c>
      <c r="V49" s="166" t="s">
        <v>178</v>
      </c>
      <c r="W49" s="166" t="s">
        <v>15</v>
      </c>
      <c r="X49" s="166" t="s">
        <v>178</v>
      </c>
      <c r="Y49" s="166" t="s">
        <v>15</v>
      </c>
      <c r="Z49" s="166" t="s">
        <v>178</v>
      </c>
      <c r="AA49" s="151" t="s">
        <v>381</v>
      </c>
      <c r="AB49" s="152" t="s">
        <v>519</v>
      </c>
      <c r="AC49" s="164" t="s">
        <v>225</v>
      </c>
      <c r="AD49" s="152"/>
      <c r="AE49" s="153">
        <v>43283.700185185182</v>
      </c>
      <c r="AF49" s="154" t="s">
        <v>507</v>
      </c>
      <c r="AG49" s="34"/>
      <c r="AH49" s="34"/>
      <c r="AI49" s="34"/>
      <c r="AJ49" s="34"/>
      <c r="AK49" s="34"/>
      <c r="AL49" s="34"/>
      <c r="AM49" s="34"/>
      <c r="AN49" s="34"/>
      <c r="AO49" s="34"/>
      <c r="AP49" s="34"/>
      <c r="AQ49" s="34"/>
      <c r="AR49" s="104"/>
      <c r="AS49" s="104"/>
      <c r="AT49" s="104">
        <v>43283.700185185182</v>
      </c>
      <c r="AU49" s="76" t="s">
        <v>507</v>
      </c>
      <c r="AV49" s="34"/>
      <c r="AW49" s="34"/>
      <c r="AX49" s="34"/>
      <c r="AY49" s="34"/>
      <c r="AZ49" s="34"/>
      <c r="BA49" s="34"/>
      <c r="BB49" s="34"/>
      <c r="BC49" s="34"/>
      <c r="BD49" s="34"/>
      <c r="BE49" s="34"/>
      <c r="BF49" s="34"/>
      <c r="BG49" s="34"/>
    </row>
    <row r="50" spans="1:59" ht="60">
      <c r="A50" s="100"/>
      <c r="B50" s="145" t="s">
        <v>369</v>
      </c>
      <c r="C50" s="146">
        <v>5</v>
      </c>
      <c r="D50" s="147" t="s">
        <v>71</v>
      </c>
      <c r="E50" s="147" t="s">
        <v>388</v>
      </c>
      <c r="F50" s="148" t="s">
        <v>302</v>
      </c>
      <c r="G50" s="149" t="s">
        <v>13</v>
      </c>
      <c r="H50" s="150" t="s">
        <v>4</v>
      </c>
      <c r="I50" s="149" t="s">
        <v>13</v>
      </c>
      <c r="J50" s="150" t="s">
        <v>4</v>
      </c>
      <c r="K50" s="149" t="s">
        <v>15</v>
      </c>
      <c r="L50" s="150" t="s">
        <v>178</v>
      </c>
      <c r="M50" s="149" t="s">
        <v>15</v>
      </c>
      <c r="N50" s="150" t="s">
        <v>178</v>
      </c>
      <c r="O50" s="149" t="s">
        <v>15</v>
      </c>
      <c r="P50" s="150" t="s">
        <v>178</v>
      </c>
      <c r="Q50" s="166"/>
      <c r="R50" s="166" t="s">
        <v>25</v>
      </c>
      <c r="S50" s="166"/>
      <c r="T50" s="166" t="s">
        <v>25</v>
      </c>
      <c r="U50" s="166"/>
      <c r="V50" s="166" t="s">
        <v>25</v>
      </c>
      <c r="W50" s="166"/>
      <c r="X50" s="166" t="s">
        <v>25</v>
      </c>
      <c r="Y50" s="166"/>
      <c r="Z50" s="166" t="s">
        <v>25</v>
      </c>
      <c r="AA50" s="151"/>
      <c r="AB50" s="152"/>
      <c r="AC50" s="164" t="s">
        <v>225</v>
      </c>
      <c r="AD50" s="152"/>
      <c r="AE50" s="153">
        <v>43283.700185185182</v>
      </c>
      <c r="AF50" s="154" t="s">
        <v>507</v>
      </c>
      <c r="AG50" s="34"/>
      <c r="AH50" s="34"/>
      <c r="AI50" s="34"/>
      <c r="AJ50" s="34"/>
      <c r="AK50" s="34"/>
      <c r="AL50" s="34"/>
      <c r="AM50" s="34"/>
      <c r="AN50" s="34"/>
      <c r="AO50" s="34"/>
      <c r="AP50" s="34"/>
      <c r="AQ50" s="34"/>
      <c r="AR50" s="104"/>
      <c r="AS50" s="104"/>
      <c r="AT50" s="104">
        <v>43283.700185185182</v>
      </c>
      <c r="AU50" s="76" t="s">
        <v>507</v>
      </c>
      <c r="AV50" s="34"/>
      <c r="AW50" s="34"/>
      <c r="AX50" s="34"/>
      <c r="AY50" s="34"/>
      <c r="AZ50" s="34"/>
      <c r="BA50" s="34"/>
      <c r="BB50" s="34"/>
      <c r="BC50" s="34"/>
      <c r="BD50" s="34"/>
      <c r="BE50" s="34"/>
      <c r="BF50" s="34"/>
      <c r="BG50" s="34"/>
    </row>
    <row r="51" spans="1:59" ht="60">
      <c r="A51" s="100"/>
      <c r="B51" s="145" t="s">
        <v>467</v>
      </c>
      <c r="C51" s="146">
        <v>5</v>
      </c>
      <c r="D51" s="147" t="s">
        <v>71</v>
      </c>
      <c r="E51" s="147" t="s">
        <v>390</v>
      </c>
      <c r="F51" s="148" t="s">
        <v>303</v>
      </c>
      <c r="G51" s="149" t="s">
        <v>13</v>
      </c>
      <c r="H51" s="150" t="s">
        <v>4</v>
      </c>
      <c r="I51" s="149" t="s">
        <v>13</v>
      </c>
      <c r="J51" s="150" t="s">
        <v>4</v>
      </c>
      <c r="K51" s="149" t="s">
        <v>13</v>
      </c>
      <c r="L51" s="150" t="s">
        <v>4</v>
      </c>
      <c r="M51" s="149" t="s">
        <v>15</v>
      </c>
      <c r="N51" s="150" t="s">
        <v>178</v>
      </c>
      <c r="O51" s="149" t="s">
        <v>15</v>
      </c>
      <c r="P51" s="150" t="s">
        <v>178</v>
      </c>
      <c r="Q51" s="166"/>
      <c r="R51" s="166" t="s">
        <v>25</v>
      </c>
      <c r="S51" s="166"/>
      <c r="T51" s="166" t="s">
        <v>25</v>
      </c>
      <c r="U51" s="166"/>
      <c r="V51" s="166" t="s">
        <v>25</v>
      </c>
      <c r="W51" s="166"/>
      <c r="X51" s="166" t="s">
        <v>25</v>
      </c>
      <c r="Y51" s="166"/>
      <c r="Z51" s="166" t="s">
        <v>25</v>
      </c>
      <c r="AA51" s="151"/>
      <c r="AB51" s="152" t="s">
        <v>520</v>
      </c>
      <c r="AC51" s="164" t="s">
        <v>225</v>
      </c>
      <c r="AD51" s="152"/>
      <c r="AE51" s="153">
        <v>43283.700185185182</v>
      </c>
      <c r="AF51" s="154" t="s">
        <v>507</v>
      </c>
      <c r="AG51" s="34"/>
      <c r="AH51" s="34"/>
      <c r="AI51" s="34"/>
      <c r="AJ51" s="34"/>
      <c r="AK51" s="34"/>
      <c r="AL51" s="34"/>
      <c r="AM51" s="34"/>
      <c r="AN51" s="34"/>
      <c r="AO51" s="34"/>
      <c r="AP51" s="34"/>
      <c r="AQ51" s="34"/>
      <c r="AR51" s="104"/>
      <c r="AS51" s="104"/>
      <c r="AT51" s="104">
        <v>43283.700185185182</v>
      </c>
      <c r="AU51" s="76" t="s">
        <v>507</v>
      </c>
      <c r="AV51" s="34"/>
      <c r="AW51" s="34"/>
      <c r="AX51" s="34"/>
      <c r="AY51" s="34"/>
      <c r="AZ51" s="34"/>
      <c r="BA51" s="34"/>
      <c r="BB51" s="34"/>
      <c r="BC51" s="34"/>
      <c r="BD51" s="34"/>
      <c r="BE51" s="34"/>
      <c r="BF51" s="34"/>
      <c r="BG51" s="34"/>
    </row>
    <row r="52" spans="1:59" ht="60">
      <c r="A52" s="100"/>
      <c r="B52" s="145" t="s">
        <v>370</v>
      </c>
      <c r="C52" s="146">
        <v>5</v>
      </c>
      <c r="D52" s="147" t="s">
        <v>71</v>
      </c>
      <c r="E52" s="147" t="s">
        <v>389</v>
      </c>
      <c r="F52" s="148" t="s">
        <v>304</v>
      </c>
      <c r="G52" s="149" t="s">
        <v>13</v>
      </c>
      <c r="H52" s="150" t="s">
        <v>4</v>
      </c>
      <c r="I52" s="149" t="s">
        <v>13</v>
      </c>
      <c r="J52" s="150" t="s">
        <v>4</v>
      </c>
      <c r="K52" s="149" t="s">
        <v>13</v>
      </c>
      <c r="L52" s="150" t="s">
        <v>4</v>
      </c>
      <c r="M52" s="149" t="s">
        <v>15</v>
      </c>
      <c r="N52" s="150" t="s">
        <v>178</v>
      </c>
      <c r="O52" s="149" t="s">
        <v>13</v>
      </c>
      <c r="P52" s="150" t="s">
        <v>4</v>
      </c>
      <c r="Q52" s="166"/>
      <c r="R52" s="166" t="s">
        <v>25</v>
      </c>
      <c r="S52" s="166"/>
      <c r="T52" s="166" t="s">
        <v>25</v>
      </c>
      <c r="U52" s="166"/>
      <c r="V52" s="166" t="s">
        <v>25</v>
      </c>
      <c r="W52" s="166"/>
      <c r="X52" s="166" t="s">
        <v>25</v>
      </c>
      <c r="Y52" s="166"/>
      <c r="Z52" s="166" t="s">
        <v>25</v>
      </c>
      <c r="AA52" s="151"/>
      <c r="AB52" s="152"/>
      <c r="AC52" s="164" t="s">
        <v>225</v>
      </c>
      <c r="AD52" s="152"/>
      <c r="AE52" s="153">
        <v>43283.700185185182</v>
      </c>
      <c r="AF52" s="154" t="s">
        <v>507</v>
      </c>
      <c r="AG52" s="34"/>
      <c r="AH52" s="34"/>
      <c r="AI52" s="34"/>
      <c r="AJ52" s="34"/>
      <c r="AK52" s="34"/>
      <c r="AL52" s="34"/>
      <c r="AM52" s="34"/>
      <c r="AN52" s="34"/>
      <c r="AO52" s="34"/>
      <c r="AP52" s="34"/>
      <c r="AQ52" s="34"/>
      <c r="AR52" s="104"/>
      <c r="AS52" s="104"/>
      <c r="AT52" s="104">
        <v>43283.700185185182</v>
      </c>
      <c r="AU52" s="76" t="s">
        <v>507</v>
      </c>
      <c r="AV52" s="34"/>
      <c r="AW52" s="34"/>
      <c r="AX52" s="34"/>
      <c r="AY52" s="34"/>
      <c r="AZ52" s="34"/>
      <c r="BA52" s="34"/>
      <c r="BB52" s="34"/>
      <c r="BC52" s="34"/>
      <c r="BD52" s="34"/>
      <c r="BE52" s="34"/>
      <c r="BF52" s="34"/>
      <c r="BG52" s="34"/>
    </row>
    <row r="53" spans="1:59" ht="75">
      <c r="A53" s="100"/>
      <c r="B53" s="145" t="s">
        <v>371</v>
      </c>
      <c r="C53" s="146">
        <v>5</v>
      </c>
      <c r="D53" s="147" t="s">
        <v>71</v>
      </c>
      <c r="E53" s="147" t="s">
        <v>391</v>
      </c>
      <c r="F53" s="148" t="s">
        <v>305</v>
      </c>
      <c r="G53" s="149" t="s">
        <v>14</v>
      </c>
      <c r="H53" s="150" t="s">
        <v>5</v>
      </c>
      <c r="I53" s="149" t="s">
        <v>14</v>
      </c>
      <c r="J53" s="150" t="s">
        <v>5</v>
      </c>
      <c r="K53" s="149" t="s">
        <v>14</v>
      </c>
      <c r="L53" s="150" t="s">
        <v>5</v>
      </c>
      <c r="M53" s="149" t="s">
        <v>15</v>
      </c>
      <c r="N53" s="150" t="s">
        <v>178</v>
      </c>
      <c r="O53" s="149" t="s">
        <v>14</v>
      </c>
      <c r="P53" s="150" t="s">
        <v>5</v>
      </c>
      <c r="Q53" s="166"/>
      <c r="R53" s="166" t="s">
        <v>25</v>
      </c>
      <c r="S53" s="166"/>
      <c r="T53" s="166" t="s">
        <v>25</v>
      </c>
      <c r="U53" s="166"/>
      <c r="V53" s="166" t="s">
        <v>25</v>
      </c>
      <c r="W53" s="166"/>
      <c r="X53" s="166" t="s">
        <v>25</v>
      </c>
      <c r="Y53" s="166"/>
      <c r="Z53" s="166" t="s">
        <v>25</v>
      </c>
      <c r="AA53" s="151"/>
      <c r="AB53" s="152"/>
      <c r="AC53" s="164" t="s">
        <v>225</v>
      </c>
      <c r="AD53" s="152"/>
      <c r="AE53" s="153">
        <v>43283.700185185182</v>
      </c>
      <c r="AF53" s="154" t="s">
        <v>507</v>
      </c>
      <c r="AG53" s="34"/>
      <c r="AH53" s="34"/>
      <c r="AI53" s="34"/>
      <c r="AJ53" s="34"/>
      <c r="AK53" s="34"/>
      <c r="AL53" s="34"/>
      <c r="AM53" s="34"/>
      <c r="AN53" s="34"/>
      <c r="AO53" s="34"/>
      <c r="AP53" s="34"/>
      <c r="AQ53" s="34"/>
      <c r="AR53" s="104"/>
      <c r="AS53" s="104"/>
      <c r="AT53" s="104">
        <v>43283.700185185182</v>
      </c>
      <c r="AU53" s="76" t="s">
        <v>507</v>
      </c>
      <c r="AV53" s="34"/>
      <c r="AW53" s="34"/>
      <c r="AX53" s="34"/>
      <c r="AY53" s="34"/>
      <c r="AZ53" s="34"/>
      <c r="BA53" s="34"/>
      <c r="BB53" s="34"/>
      <c r="BC53" s="34"/>
      <c r="BD53" s="34"/>
      <c r="BE53" s="34"/>
      <c r="BF53" s="34"/>
      <c r="BG53" s="34"/>
    </row>
    <row r="54" spans="1:59" ht="30">
      <c r="A54" s="100"/>
      <c r="B54" s="145" t="s">
        <v>372</v>
      </c>
      <c r="C54" s="146">
        <v>5</v>
      </c>
      <c r="D54" s="147" t="s">
        <v>71</v>
      </c>
      <c r="E54" s="147" t="s">
        <v>392</v>
      </c>
      <c r="F54" s="148" t="s">
        <v>306</v>
      </c>
      <c r="G54" s="149" t="s">
        <v>13</v>
      </c>
      <c r="H54" s="150" t="s">
        <v>4</v>
      </c>
      <c r="I54" s="149" t="s">
        <v>13</v>
      </c>
      <c r="J54" s="150" t="s">
        <v>4</v>
      </c>
      <c r="K54" s="149" t="s">
        <v>13</v>
      </c>
      <c r="L54" s="150" t="s">
        <v>4</v>
      </c>
      <c r="M54" s="149" t="s">
        <v>15</v>
      </c>
      <c r="N54" s="150" t="s">
        <v>178</v>
      </c>
      <c r="O54" s="149" t="s">
        <v>13</v>
      </c>
      <c r="P54" s="150" t="s">
        <v>4</v>
      </c>
      <c r="Q54" s="166"/>
      <c r="R54" s="166" t="s">
        <v>25</v>
      </c>
      <c r="S54" s="166"/>
      <c r="T54" s="166" t="s">
        <v>25</v>
      </c>
      <c r="U54" s="166"/>
      <c r="V54" s="166" t="s">
        <v>25</v>
      </c>
      <c r="W54" s="166"/>
      <c r="X54" s="166" t="s">
        <v>25</v>
      </c>
      <c r="Y54" s="166"/>
      <c r="Z54" s="166" t="s">
        <v>25</v>
      </c>
      <c r="AA54" s="151"/>
      <c r="AB54" s="152"/>
      <c r="AC54" s="164" t="s">
        <v>225</v>
      </c>
      <c r="AD54" s="152"/>
      <c r="AE54" s="153">
        <v>43283.700185185182</v>
      </c>
      <c r="AF54" s="154" t="s">
        <v>507</v>
      </c>
      <c r="AG54" s="34"/>
      <c r="AH54" s="34"/>
      <c r="AI54" s="34"/>
      <c r="AJ54" s="34"/>
      <c r="AK54" s="34"/>
      <c r="AL54" s="34"/>
      <c r="AM54" s="34"/>
      <c r="AN54" s="34"/>
      <c r="AO54" s="34"/>
      <c r="AP54" s="34"/>
      <c r="AQ54" s="34"/>
      <c r="AR54" s="104"/>
      <c r="AS54" s="104"/>
      <c r="AT54" s="104">
        <v>43283.700185185182</v>
      </c>
      <c r="AU54" s="76" t="s">
        <v>507</v>
      </c>
      <c r="AV54" s="34"/>
      <c r="AW54" s="34"/>
      <c r="AX54" s="34"/>
      <c r="AY54" s="34"/>
      <c r="AZ54" s="34"/>
      <c r="BA54" s="34"/>
      <c r="BB54" s="34"/>
      <c r="BC54" s="34"/>
      <c r="BD54" s="34"/>
      <c r="BE54" s="34"/>
      <c r="BF54" s="34"/>
      <c r="BG54" s="34"/>
    </row>
    <row r="55" spans="1:59" ht="45">
      <c r="A55" s="100"/>
      <c r="B55" s="145" t="s">
        <v>373</v>
      </c>
      <c r="C55" s="146">
        <v>5</v>
      </c>
      <c r="D55" s="147" t="s">
        <v>71</v>
      </c>
      <c r="E55" s="147" t="s">
        <v>393</v>
      </c>
      <c r="F55" s="148" t="s">
        <v>307</v>
      </c>
      <c r="G55" s="149" t="s">
        <v>13</v>
      </c>
      <c r="H55" s="150" t="s">
        <v>4</v>
      </c>
      <c r="I55" s="149" t="s">
        <v>13</v>
      </c>
      <c r="J55" s="150" t="s">
        <v>4</v>
      </c>
      <c r="K55" s="149" t="s">
        <v>13</v>
      </c>
      <c r="L55" s="150" t="s">
        <v>4</v>
      </c>
      <c r="M55" s="149" t="s">
        <v>15</v>
      </c>
      <c r="N55" s="150" t="s">
        <v>178</v>
      </c>
      <c r="O55" s="149" t="s">
        <v>15</v>
      </c>
      <c r="P55" s="150" t="s">
        <v>178</v>
      </c>
      <c r="Q55" s="166"/>
      <c r="R55" s="166" t="s">
        <v>25</v>
      </c>
      <c r="S55" s="166"/>
      <c r="T55" s="166" t="s">
        <v>25</v>
      </c>
      <c r="U55" s="166"/>
      <c r="V55" s="166" t="s">
        <v>25</v>
      </c>
      <c r="W55" s="166"/>
      <c r="X55" s="166" t="s">
        <v>25</v>
      </c>
      <c r="Y55" s="166"/>
      <c r="Z55" s="166" t="s">
        <v>25</v>
      </c>
      <c r="AA55" s="151"/>
      <c r="AB55" s="152" t="s">
        <v>521</v>
      </c>
      <c r="AC55" s="164" t="s">
        <v>225</v>
      </c>
      <c r="AD55" s="152"/>
      <c r="AE55" s="153">
        <v>43283.700185185182</v>
      </c>
      <c r="AF55" s="154" t="s">
        <v>507</v>
      </c>
      <c r="AG55" s="34"/>
      <c r="AH55" s="34"/>
      <c r="AI55" s="34"/>
      <c r="AJ55" s="34"/>
      <c r="AK55" s="34"/>
      <c r="AL55" s="34"/>
      <c r="AM55" s="34"/>
      <c r="AN55" s="34"/>
      <c r="AO55" s="34"/>
      <c r="AP55" s="34"/>
      <c r="AQ55" s="34"/>
      <c r="AR55" s="104"/>
      <c r="AS55" s="104"/>
      <c r="AT55" s="104">
        <v>43283.700185185182</v>
      </c>
      <c r="AU55" s="76" t="s">
        <v>507</v>
      </c>
      <c r="AV55" s="34"/>
      <c r="AW55" s="34"/>
      <c r="AX55" s="34"/>
      <c r="AY55" s="34"/>
      <c r="AZ55" s="34"/>
      <c r="BA55" s="34"/>
      <c r="BB55" s="34"/>
      <c r="BC55" s="34"/>
      <c r="BD55" s="34"/>
      <c r="BE55" s="34"/>
      <c r="BF55" s="34"/>
      <c r="BG55" s="34"/>
    </row>
    <row r="56" spans="1:59" ht="30">
      <c r="A56" s="100"/>
      <c r="B56" s="145" t="s">
        <v>374</v>
      </c>
      <c r="C56" s="146">
        <v>5</v>
      </c>
      <c r="D56" s="147" t="s">
        <v>71</v>
      </c>
      <c r="E56" s="147" t="s">
        <v>394</v>
      </c>
      <c r="F56" s="148" t="s">
        <v>308</v>
      </c>
      <c r="G56" s="149" t="s">
        <v>14</v>
      </c>
      <c r="H56" s="150" t="s">
        <v>4</v>
      </c>
      <c r="I56" s="149" t="s">
        <v>14</v>
      </c>
      <c r="J56" s="150" t="s">
        <v>4</v>
      </c>
      <c r="K56" s="149" t="s">
        <v>14</v>
      </c>
      <c r="L56" s="150" t="s">
        <v>4</v>
      </c>
      <c r="M56" s="149" t="s">
        <v>15</v>
      </c>
      <c r="N56" s="150" t="s">
        <v>178</v>
      </c>
      <c r="O56" s="149" t="s">
        <v>15</v>
      </c>
      <c r="P56" s="150" t="s">
        <v>178</v>
      </c>
      <c r="Q56" s="166"/>
      <c r="R56" s="166" t="s">
        <v>25</v>
      </c>
      <c r="S56" s="166"/>
      <c r="T56" s="166" t="s">
        <v>25</v>
      </c>
      <c r="U56" s="166"/>
      <c r="V56" s="166" t="s">
        <v>25</v>
      </c>
      <c r="W56" s="166"/>
      <c r="X56" s="166" t="s">
        <v>25</v>
      </c>
      <c r="Y56" s="166"/>
      <c r="Z56" s="166" t="s">
        <v>25</v>
      </c>
      <c r="AA56" s="151"/>
      <c r="AB56" s="152" t="s">
        <v>521</v>
      </c>
      <c r="AC56" s="164" t="s">
        <v>225</v>
      </c>
      <c r="AD56" s="152"/>
      <c r="AE56" s="153">
        <v>43283.700185185182</v>
      </c>
      <c r="AF56" s="154" t="s">
        <v>507</v>
      </c>
      <c r="AG56" s="34"/>
      <c r="AH56" s="34"/>
      <c r="AI56" s="34"/>
      <c r="AJ56" s="34"/>
      <c r="AK56" s="34"/>
      <c r="AL56" s="34"/>
      <c r="AM56" s="34"/>
      <c r="AN56" s="34"/>
      <c r="AO56" s="34"/>
      <c r="AP56" s="34"/>
      <c r="AQ56" s="34"/>
      <c r="AR56" s="104"/>
      <c r="AS56" s="104"/>
      <c r="AT56" s="104">
        <v>43283.700185185182</v>
      </c>
      <c r="AU56" s="76" t="s">
        <v>507</v>
      </c>
      <c r="AV56" s="34"/>
      <c r="AW56" s="34"/>
      <c r="AX56" s="34"/>
      <c r="AY56" s="34"/>
      <c r="AZ56" s="34"/>
      <c r="BA56" s="34"/>
      <c r="BB56" s="34"/>
      <c r="BC56" s="34"/>
      <c r="BD56" s="34"/>
      <c r="BE56" s="34"/>
      <c r="BF56" s="34"/>
      <c r="BG56" s="34"/>
    </row>
    <row r="57" spans="1:59" ht="45">
      <c r="A57" s="100"/>
      <c r="B57" s="145" t="s">
        <v>375</v>
      </c>
      <c r="C57" s="146">
        <v>6</v>
      </c>
      <c r="D57" s="147" t="s">
        <v>71</v>
      </c>
      <c r="E57" s="176" t="s">
        <v>416</v>
      </c>
      <c r="F57" s="175" t="s">
        <v>417</v>
      </c>
      <c r="G57" s="149" t="s">
        <v>14</v>
      </c>
      <c r="H57" s="150" t="s">
        <v>5</v>
      </c>
      <c r="I57" s="149" t="s">
        <v>14</v>
      </c>
      <c r="J57" s="150" t="s">
        <v>5</v>
      </c>
      <c r="K57" s="149" t="s">
        <v>14</v>
      </c>
      <c r="L57" s="150" t="s">
        <v>5</v>
      </c>
      <c r="M57" s="149" t="s">
        <v>15</v>
      </c>
      <c r="N57" s="150" t="s">
        <v>178</v>
      </c>
      <c r="O57" s="149" t="s">
        <v>14</v>
      </c>
      <c r="P57" s="150" t="s">
        <v>5</v>
      </c>
      <c r="Q57" s="166"/>
      <c r="R57" s="166"/>
      <c r="S57" s="166"/>
      <c r="T57" s="166"/>
      <c r="U57" s="166"/>
      <c r="V57" s="166"/>
      <c r="W57" s="166"/>
      <c r="X57" s="166"/>
      <c r="Y57" s="166"/>
      <c r="Z57" s="166"/>
      <c r="AA57" s="151" t="s">
        <v>380</v>
      </c>
      <c r="AB57" s="152"/>
      <c r="AC57" s="164"/>
      <c r="AD57" s="152"/>
      <c r="AE57" s="153">
        <v>43271.73332175926</v>
      </c>
      <c r="AF57" s="154" t="s">
        <v>507</v>
      </c>
      <c r="AG57" s="34"/>
      <c r="AH57" s="34"/>
      <c r="AI57" s="34"/>
      <c r="AJ57" s="34"/>
      <c r="AK57" s="34"/>
      <c r="AL57" s="34"/>
      <c r="AM57" s="34"/>
      <c r="AN57" s="34"/>
      <c r="AO57" s="34"/>
      <c r="AP57" s="34"/>
      <c r="AQ57" s="34"/>
      <c r="AR57" s="104"/>
      <c r="AS57" s="104"/>
      <c r="AT57" s="104">
        <v>43271.73332175926</v>
      </c>
      <c r="AU57" s="76" t="s">
        <v>507</v>
      </c>
      <c r="AV57" s="34"/>
      <c r="AW57" s="34"/>
      <c r="AX57" s="34"/>
      <c r="AY57" s="34"/>
      <c r="AZ57" s="34"/>
      <c r="BA57" s="34"/>
      <c r="BB57" s="34"/>
      <c r="BC57" s="34"/>
      <c r="BD57" s="34"/>
      <c r="BE57" s="34"/>
      <c r="BF57" s="34"/>
      <c r="BG57" s="34"/>
    </row>
    <row r="58" spans="1:59" ht="195">
      <c r="A58" s="100"/>
      <c r="B58" s="145" t="s">
        <v>376</v>
      </c>
      <c r="C58" s="146">
        <v>3</v>
      </c>
      <c r="D58" s="147" t="s">
        <v>71</v>
      </c>
      <c r="E58" s="147" t="s">
        <v>407</v>
      </c>
      <c r="F58" s="148" t="s">
        <v>325</v>
      </c>
      <c r="G58" s="149" t="s">
        <v>14</v>
      </c>
      <c r="H58" s="150" t="s">
        <v>5</v>
      </c>
      <c r="I58" s="149" t="s">
        <v>14</v>
      </c>
      <c r="J58" s="150" t="s">
        <v>5</v>
      </c>
      <c r="K58" s="149" t="s">
        <v>14</v>
      </c>
      <c r="L58" s="150" t="s">
        <v>5</v>
      </c>
      <c r="M58" s="149" t="s">
        <v>15</v>
      </c>
      <c r="N58" s="150" t="s">
        <v>178</v>
      </c>
      <c r="O58" s="149" t="s">
        <v>14</v>
      </c>
      <c r="P58" s="150" t="s">
        <v>5</v>
      </c>
      <c r="Q58" s="166"/>
      <c r="R58" s="166" t="s">
        <v>25</v>
      </c>
      <c r="S58" s="166"/>
      <c r="T58" s="166" t="s">
        <v>25</v>
      </c>
      <c r="U58" s="166"/>
      <c r="V58" s="166" t="s">
        <v>25</v>
      </c>
      <c r="W58" s="166"/>
      <c r="X58" s="166" t="s">
        <v>25</v>
      </c>
      <c r="Y58" s="166"/>
      <c r="Z58" s="166" t="s">
        <v>25</v>
      </c>
      <c r="AA58" s="151" t="s">
        <v>383</v>
      </c>
      <c r="AB58" s="152"/>
      <c r="AC58" s="164" t="s">
        <v>225</v>
      </c>
      <c r="AD58" s="152"/>
      <c r="AE58" s="153">
        <v>43271.73332175926</v>
      </c>
      <c r="AF58" s="154" t="s">
        <v>507</v>
      </c>
      <c r="AG58" s="34"/>
      <c r="AH58" s="34"/>
      <c r="AI58" s="34"/>
      <c r="AJ58" s="34"/>
      <c r="AK58" s="34"/>
      <c r="AL58" s="34"/>
      <c r="AM58" s="34"/>
      <c r="AN58" s="34"/>
      <c r="AO58" s="34"/>
      <c r="AP58" s="34"/>
      <c r="AQ58" s="34"/>
      <c r="AR58" s="104"/>
      <c r="AS58" s="104"/>
      <c r="AT58" s="104">
        <v>43271.73332175926</v>
      </c>
      <c r="AU58" s="76" t="s">
        <v>507</v>
      </c>
      <c r="AV58" s="34"/>
      <c r="AW58" s="34"/>
      <c r="AX58" s="34"/>
      <c r="AY58" s="34"/>
      <c r="AZ58" s="34"/>
      <c r="BA58" s="34"/>
      <c r="BB58" s="34"/>
      <c r="BC58" s="34"/>
      <c r="BD58" s="34"/>
      <c r="BE58" s="34"/>
      <c r="BF58" s="34"/>
      <c r="BG58" s="34"/>
    </row>
    <row r="59" spans="1:59" ht="75">
      <c r="A59" s="100"/>
      <c r="B59" s="145" t="s">
        <v>377</v>
      </c>
      <c r="C59" s="146">
        <v>3</v>
      </c>
      <c r="D59" s="147" t="s">
        <v>71</v>
      </c>
      <c r="E59" s="147" t="s">
        <v>408</v>
      </c>
      <c r="F59" s="148" t="s">
        <v>326</v>
      </c>
      <c r="G59" s="149" t="s">
        <v>14</v>
      </c>
      <c r="H59" s="150" t="s">
        <v>5</v>
      </c>
      <c r="I59" s="149" t="s">
        <v>14</v>
      </c>
      <c r="J59" s="150" t="s">
        <v>5</v>
      </c>
      <c r="K59" s="149" t="s">
        <v>14</v>
      </c>
      <c r="L59" s="150" t="s">
        <v>5</v>
      </c>
      <c r="M59" s="149" t="s">
        <v>15</v>
      </c>
      <c r="N59" s="150" t="s">
        <v>178</v>
      </c>
      <c r="O59" s="149" t="s">
        <v>14</v>
      </c>
      <c r="P59" s="150" t="s">
        <v>5</v>
      </c>
      <c r="Q59" s="166"/>
      <c r="R59" s="166" t="s">
        <v>25</v>
      </c>
      <c r="S59" s="166"/>
      <c r="T59" s="166" t="s">
        <v>25</v>
      </c>
      <c r="U59" s="166"/>
      <c r="V59" s="166" t="s">
        <v>25</v>
      </c>
      <c r="W59" s="166"/>
      <c r="X59" s="166" t="s">
        <v>25</v>
      </c>
      <c r="Y59" s="166"/>
      <c r="Z59" s="166" t="s">
        <v>25</v>
      </c>
      <c r="AA59" s="151"/>
      <c r="AB59" s="152"/>
      <c r="AC59" s="164" t="s">
        <v>225</v>
      </c>
      <c r="AD59" s="152"/>
      <c r="AE59" s="153">
        <v>43271.73332175926</v>
      </c>
      <c r="AF59" s="154" t="s">
        <v>507</v>
      </c>
      <c r="AG59" s="34"/>
      <c r="AH59" s="34"/>
      <c r="AI59" s="34"/>
      <c r="AJ59" s="34"/>
      <c r="AK59" s="34"/>
      <c r="AL59" s="34"/>
      <c r="AM59" s="34"/>
      <c r="AN59" s="34"/>
      <c r="AO59" s="34"/>
      <c r="AP59" s="34"/>
      <c r="AQ59" s="34"/>
      <c r="AR59" s="104"/>
      <c r="AS59" s="104"/>
      <c r="AT59" s="104">
        <v>43271.73332175926</v>
      </c>
      <c r="AU59" s="76" t="s">
        <v>507</v>
      </c>
      <c r="AV59" s="34"/>
      <c r="AW59" s="34"/>
      <c r="AX59" s="34"/>
      <c r="AY59" s="34"/>
      <c r="AZ59" s="34"/>
      <c r="BA59" s="34"/>
      <c r="BB59" s="34"/>
      <c r="BC59" s="34"/>
      <c r="BD59" s="34"/>
      <c r="BE59" s="34"/>
      <c r="BF59" s="34"/>
      <c r="BG59" s="34"/>
    </row>
    <row r="60" spans="1:59" ht="75">
      <c r="A60" s="100"/>
      <c r="B60" s="145" t="s">
        <v>378</v>
      </c>
      <c r="C60" s="146">
        <v>3</v>
      </c>
      <c r="D60" s="147" t="s">
        <v>71</v>
      </c>
      <c r="E60" s="147" t="s">
        <v>409</v>
      </c>
      <c r="F60" s="148" t="s">
        <v>327</v>
      </c>
      <c r="G60" s="149" t="s">
        <v>14</v>
      </c>
      <c r="H60" s="150" t="s">
        <v>5</v>
      </c>
      <c r="I60" s="149" t="s">
        <v>14</v>
      </c>
      <c r="J60" s="150" t="s">
        <v>5</v>
      </c>
      <c r="K60" s="149" t="s">
        <v>14</v>
      </c>
      <c r="L60" s="150" t="s">
        <v>5</v>
      </c>
      <c r="M60" s="149" t="s">
        <v>15</v>
      </c>
      <c r="N60" s="150" t="s">
        <v>178</v>
      </c>
      <c r="O60" s="149" t="s">
        <v>14</v>
      </c>
      <c r="P60" s="150" t="s">
        <v>5</v>
      </c>
      <c r="Q60" s="166"/>
      <c r="R60" s="166" t="s">
        <v>25</v>
      </c>
      <c r="S60" s="166"/>
      <c r="T60" s="166" t="s">
        <v>25</v>
      </c>
      <c r="U60" s="166"/>
      <c r="V60" s="166" t="s">
        <v>25</v>
      </c>
      <c r="W60" s="166"/>
      <c r="X60" s="166" t="s">
        <v>25</v>
      </c>
      <c r="Y60" s="166"/>
      <c r="Z60" s="166" t="s">
        <v>25</v>
      </c>
      <c r="AA60" s="151"/>
      <c r="AB60" s="152"/>
      <c r="AC60" s="164" t="s">
        <v>225</v>
      </c>
      <c r="AD60" s="152"/>
      <c r="AE60" s="153">
        <v>43271.73332175926</v>
      </c>
      <c r="AF60" s="154" t="s">
        <v>507</v>
      </c>
      <c r="AG60" s="34"/>
      <c r="AH60" s="34"/>
      <c r="AI60" s="34"/>
      <c r="AJ60" s="34"/>
      <c r="AK60" s="34"/>
      <c r="AL60" s="34"/>
      <c r="AM60" s="34"/>
      <c r="AN60" s="34"/>
      <c r="AO60" s="34"/>
      <c r="AP60" s="34"/>
      <c r="AQ60" s="34"/>
      <c r="AR60" s="104"/>
      <c r="AS60" s="104"/>
      <c r="AT60" s="104">
        <v>43271.73332175926</v>
      </c>
      <c r="AU60" s="76" t="s">
        <v>507</v>
      </c>
      <c r="AV60" s="34"/>
      <c r="AW60" s="34"/>
      <c r="AX60" s="34"/>
      <c r="AY60" s="34"/>
      <c r="AZ60" s="34"/>
      <c r="BA60" s="34"/>
      <c r="BB60" s="34"/>
      <c r="BC60" s="34"/>
      <c r="BD60" s="34"/>
      <c r="BE60" s="34"/>
      <c r="BF60" s="34"/>
      <c r="BG60" s="34"/>
    </row>
    <row r="61" spans="1:59" ht="75">
      <c r="A61" s="100"/>
      <c r="B61" s="145" t="s">
        <v>379</v>
      </c>
      <c r="C61" s="146">
        <v>3</v>
      </c>
      <c r="D61" s="147" t="s">
        <v>71</v>
      </c>
      <c r="E61" s="147" t="s">
        <v>410</v>
      </c>
      <c r="F61" s="148" t="s">
        <v>328</v>
      </c>
      <c r="G61" s="149" t="s">
        <v>14</v>
      </c>
      <c r="H61" s="150" t="s">
        <v>5</v>
      </c>
      <c r="I61" s="149" t="s">
        <v>14</v>
      </c>
      <c r="J61" s="150" t="s">
        <v>5</v>
      </c>
      <c r="K61" s="149" t="s">
        <v>14</v>
      </c>
      <c r="L61" s="150" t="s">
        <v>5</v>
      </c>
      <c r="M61" s="149" t="s">
        <v>15</v>
      </c>
      <c r="N61" s="150" t="s">
        <v>178</v>
      </c>
      <c r="O61" s="149" t="s">
        <v>14</v>
      </c>
      <c r="P61" s="150" t="s">
        <v>5</v>
      </c>
      <c r="Q61" s="166"/>
      <c r="R61" s="166" t="s">
        <v>25</v>
      </c>
      <c r="S61" s="166"/>
      <c r="T61" s="166" t="s">
        <v>25</v>
      </c>
      <c r="U61" s="166"/>
      <c r="V61" s="166" t="s">
        <v>25</v>
      </c>
      <c r="W61" s="166"/>
      <c r="X61" s="166" t="s">
        <v>25</v>
      </c>
      <c r="Y61" s="166"/>
      <c r="Z61" s="166" t="s">
        <v>25</v>
      </c>
      <c r="AA61" s="151"/>
      <c r="AB61" s="152"/>
      <c r="AC61" s="164" t="s">
        <v>225</v>
      </c>
      <c r="AD61" s="152"/>
      <c r="AE61" s="153">
        <v>43271.73332175926</v>
      </c>
      <c r="AF61" s="154" t="s">
        <v>507</v>
      </c>
      <c r="AG61" s="34"/>
      <c r="AH61" s="34"/>
      <c r="AI61" s="34"/>
      <c r="AJ61" s="34"/>
      <c r="AK61" s="34"/>
      <c r="AL61" s="34"/>
      <c r="AM61" s="34"/>
      <c r="AN61" s="34"/>
      <c r="AO61" s="34"/>
      <c r="AP61" s="34"/>
      <c r="AQ61" s="34"/>
      <c r="AR61" s="104"/>
      <c r="AS61" s="104"/>
      <c r="AT61" s="104">
        <v>43271.73332175926</v>
      </c>
      <c r="AU61" s="76" t="s">
        <v>507</v>
      </c>
      <c r="AV61" s="34"/>
      <c r="AW61" s="34"/>
      <c r="AX61" s="34"/>
      <c r="AY61" s="34"/>
      <c r="AZ61" s="34"/>
      <c r="BA61" s="34"/>
      <c r="BB61" s="34"/>
      <c r="BC61" s="34"/>
      <c r="BD61" s="34"/>
      <c r="BE61" s="34"/>
      <c r="BF61" s="34"/>
      <c r="BG61" s="34"/>
    </row>
    <row r="62" spans="1:59" ht="105">
      <c r="A62" s="100"/>
      <c r="B62" s="145" t="s">
        <v>499</v>
      </c>
      <c r="C62" s="146">
        <v>4</v>
      </c>
      <c r="D62" s="147" t="s">
        <v>71</v>
      </c>
      <c r="E62" s="147" t="s">
        <v>411</v>
      </c>
      <c r="F62" s="148" t="s">
        <v>455</v>
      </c>
      <c r="G62" s="149" t="s">
        <v>14</v>
      </c>
      <c r="H62" s="150" t="s">
        <v>5</v>
      </c>
      <c r="I62" s="149" t="s">
        <v>14</v>
      </c>
      <c r="J62" s="150" t="s">
        <v>5</v>
      </c>
      <c r="K62" s="149" t="s">
        <v>14</v>
      </c>
      <c r="L62" s="150" t="s">
        <v>5</v>
      </c>
      <c r="M62" s="149" t="s">
        <v>15</v>
      </c>
      <c r="N62" s="150" t="s">
        <v>178</v>
      </c>
      <c r="O62" s="149" t="s">
        <v>14</v>
      </c>
      <c r="P62" s="150" t="s">
        <v>5</v>
      </c>
      <c r="Q62" s="166"/>
      <c r="R62" s="166" t="s">
        <v>25</v>
      </c>
      <c r="S62" s="166"/>
      <c r="T62" s="166" t="s">
        <v>25</v>
      </c>
      <c r="U62" s="166"/>
      <c r="V62" s="166" t="s">
        <v>25</v>
      </c>
      <c r="W62" s="166"/>
      <c r="X62" s="166" t="s">
        <v>25</v>
      </c>
      <c r="Y62" s="166"/>
      <c r="Z62" s="166" t="s">
        <v>25</v>
      </c>
      <c r="AA62" s="151"/>
      <c r="AB62" s="152"/>
      <c r="AC62" s="164" t="s">
        <v>225</v>
      </c>
      <c r="AD62" s="152"/>
      <c r="AE62" s="153">
        <v>43271.73332175926</v>
      </c>
      <c r="AF62" s="154" t="s">
        <v>507</v>
      </c>
      <c r="AG62" s="34"/>
      <c r="AH62" s="34"/>
      <c r="AI62" s="34"/>
      <c r="AJ62" s="34"/>
      <c r="AK62" s="34"/>
      <c r="AL62" s="34"/>
      <c r="AM62" s="34"/>
      <c r="AN62" s="34"/>
      <c r="AO62" s="34"/>
      <c r="AP62" s="34"/>
      <c r="AQ62" s="34"/>
      <c r="AR62" s="104"/>
      <c r="AS62" s="104"/>
      <c r="AT62" s="104">
        <v>43271.73332175926</v>
      </c>
      <c r="AU62" s="76" t="s">
        <v>507</v>
      </c>
      <c r="AV62" s="34"/>
      <c r="AW62" s="34"/>
      <c r="AX62" s="34"/>
      <c r="AY62" s="34"/>
      <c r="AZ62" s="34"/>
      <c r="BA62" s="34"/>
      <c r="BB62" s="34"/>
      <c r="BC62" s="34"/>
      <c r="BD62" s="34"/>
      <c r="BE62" s="34"/>
      <c r="BF62" s="34"/>
      <c r="BG62" s="34"/>
    </row>
    <row r="63" spans="1:59" ht="60">
      <c r="A63" s="100"/>
      <c r="B63" s="145" t="s">
        <v>430</v>
      </c>
      <c r="C63" s="146">
        <v>3</v>
      </c>
      <c r="D63" s="147" t="s">
        <v>71</v>
      </c>
      <c r="E63" s="147" t="s">
        <v>412</v>
      </c>
      <c r="F63" s="148" t="s">
        <v>329</v>
      </c>
      <c r="G63" s="149" t="s">
        <v>14</v>
      </c>
      <c r="H63" s="150" t="s">
        <v>5</v>
      </c>
      <c r="I63" s="149" t="s">
        <v>14</v>
      </c>
      <c r="J63" s="150" t="s">
        <v>5</v>
      </c>
      <c r="K63" s="149" t="s">
        <v>14</v>
      </c>
      <c r="L63" s="150" t="s">
        <v>5</v>
      </c>
      <c r="M63" s="149" t="s">
        <v>15</v>
      </c>
      <c r="N63" s="150" t="s">
        <v>178</v>
      </c>
      <c r="O63" s="149" t="s">
        <v>14</v>
      </c>
      <c r="P63" s="150" t="s">
        <v>5</v>
      </c>
      <c r="Q63" s="166"/>
      <c r="R63" s="166" t="s">
        <v>25</v>
      </c>
      <c r="S63" s="166"/>
      <c r="T63" s="166" t="s">
        <v>25</v>
      </c>
      <c r="U63" s="166"/>
      <c r="V63" s="166" t="s">
        <v>25</v>
      </c>
      <c r="W63" s="166"/>
      <c r="X63" s="166" t="s">
        <v>25</v>
      </c>
      <c r="Y63" s="166"/>
      <c r="Z63" s="166" t="s">
        <v>25</v>
      </c>
      <c r="AA63" s="151"/>
      <c r="AB63" s="152"/>
      <c r="AC63" s="164" t="s">
        <v>225</v>
      </c>
      <c r="AD63" s="152"/>
      <c r="AE63" s="153">
        <v>43271.73332175926</v>
      </c>
      <c r="AF63" s="154" t="s">
        <v>507</v>
      </c>
      <c r="AG63" s="34"/>
      <c r="AH63" s="34"/>
      <c r="AI63" s="34"/>
      <c r="AJ63" s="34"/>
      <c r="AK63" s="34"/>
      <c r="AL63" s="34"/>
      <c r="AM63" s="34"/>
      <c r="AN63" s="34"/>
      <c r="AO63" s="34"/>
      <c r="AP63" s="34"/>
      <c r="AQ63" s="34"/>
      <c r="AR63" s="104"/>
      <c r="AS63" s="104"/>
      <c r="AT63" s="104">
        <v>43271.73332175926</v>
      </c>
      <c r="AU63" s="76" t="s">
        <v>507</v>
      </c>
      <c r="AV63" s="34"/>
      <c r="AW63" s="34"/>
      <c r="AX63" s="34"/>
      <c r="AY63" s="34"/>
      <c r="AZ63" s="34"/>
      <c r="BA63" s="34"/>
      <c r="BB63" s="34"/>
      <c r="BC63" s="34"/>
      <c r="BD63" s="34"/>
      <c r="BE63" s="34"/>
      <c r="BF63" s="34"/>
      <c r="BG63" s="34"/>
    </row>
    <row r="64" spans="1:59" ht="75">
      <c r="A64" s="100"/>
      <c r="B64" s="145" t="s">
        <v>443</v>
      </c>
      <c r="C64" s="146">
        <v>3</v>
      </c>
      <c r="D64" s="147" t="s">
        <v>71</v>
      </c>
      <c r="E64" s="147" t="s">
        <v>413</v>
      </c>
      <c r="F64" s="148" t="s">
        <v>330</v>
      </c>
      <c r="G64" s="149" t="s">
        <v>14</v>
      </c>
      <c r="H64" s="150" t="s">
        <v>5</v>
      </c>
      <c r="I64" s="149" t="s">
        <v>14</v>
      </c>
      <c r="J64" s="150" t="s">
        <v>5</v>
      </c>
      <c r="K64" s="149" t="s">
        <v>14</v>
      </c>
      <c r="L64" s="150" t="s">
        <v>5</v>
      </c>
      <c r="M64" s="149" t="s">
        <v>15</v>
      </c>
      <c r="N64" s="150" t="s">
        <v>178</v>
      </c>
      <c r="O64" s="149" t="s">
        <v>14</v>
      </c>
      <c r="P64" s="150" t="s">
        <v>5</v>
      </c>
      <c r="Q64" s="166"/>
      <c r="R64" s="166" t="s">
        <v>25</v>
      </c>
      <c r="S64" s="166"/>
      <c r="T64" s="166" t="s">
        <v>25</v>
      </c>
      <c r="U64" s="166"/>
      <c r="V64" s="166" t="s">
        <v>25</v>
      </c>
      <c r="W64" s="166"/>
      <c r="X64" s="166" t="s">
        <v>25</v>
      </c>
      <c r="Y64" s="166"/>
      <c r="Z64" s="166" t="s">
        <v>25</v>
      </c>
      <c r="AA64" s="151"/>
      <c r="AB64" s="152"/>
      <c r="AC64" s="164" t="s">
        <v>225</v>
      </c>
      <c r="AD64" s="152"/>
      <c r="AE64" s="153">
        <v>43271.73332175926</v>
      </c>
      <c r="AF64" s="154" t="s">
        <v>507</v>
      </c>
      <c r="AG64" s="34"/>
      <c r="AH64" s="34"/>
      <c r="AI64" s="34"/>
      <c r="AJ64" s="34"/>
      <c r="AK64" s="34"/>
      <c r="AL64" s="34"/>
      <c r="AM64" s="34"/>
      <c r="AN64" s="34"/>
      <c r="AO64" s="34"/>
      <c r="AP64" s="34"/>
      <c r="AQ64" s="34"/>
      <c r="AR64" s="104"/>
      <c r="AS64" s="104"/>
      <c r="AT64" s="104">
        <v>43271.73332175926</v>
      </c>
      <c r="AU64" s="76" t="s">
        <v>507</v>
      </c>
      <c r="AV64" s="34"/>
      <c r="AW64" s="34"/>
      <c r="AX64" s="34"/>
      <c r="AY64" s="34"/>
      <c r="AZ64" s="34"/>
      <c r="BA64" s="34"/>
      <c r="BB64" s="34"/>
      <c r="BC64" s="34"/>
      <c r="BD64" s="34"/>
      <c r="BE64" s="34"/>
      <c r="BF64" s="34"/>
      <c r="BG64" s="34"/>
    </row>
    <row r="65" spans="1:59" ht="105">
      <c r="A65" s="100"/>
      <c r="B65" s="177" t="s">
        <v>444</v>
      </c>
      <c r="C65" s="178">
        <v>5</v>
      </c>
      <c r="D65" s="179" t="s">
        <v>71</v>
      </c>
      <c r="E65" s="176" t="s">
        <v>432</v>
      </c>
      <c r="F65" s="175" t="s">
        <v>431</v>
      </c>
      <c r="G65" s="149" t="s">
        <v>14</v>
      </c>
      <c r="H65" s="150" t="s">
        <v>5</v>
      </c>
      <c r="I65" s="149" t="s">
        <v>14</v>
      </c>
      <c r="J65" s="150" t="s">
        <v>5</v>
      </c>
      <c r="K65" s="149" t="s">
        <v>14</v>
      </c>
      <c r="L65" s="150" t="s">
        <v>5</v>
      </c>
      <c r="M65" s="149" t="s">
        <v>15</v>
      </c>
      <c r="N65" s="150" t="s">
        <v>178</v>
      </c>
      <c r="O65" s="149" t="s">
        <v>14</v>
      </c>
      <c r="P65" s="150" t="s">
        <v>5</v>
      </c>
      <c r="Q65" s="166"/>
      <c r="R65" s="166"/>
      <c r="S65" s="166"/>
      <c r="T65" s="166"/>
      <c r="U65" s="166"/>
      <c r="V65" s="166"/>
      <c r="W65" s="166"/>
      <c r="X65" s="166"/>
      <c r="Y65" s="166"/>
      <c r="Z65" s="166"/>
      <c r="AA65" s="151"/>
      <c r="AB65" s="152"/>
      <c r="AC65" s="164"/>
      <c r="AD65" s="152"/>
      <c r="AE65" s="153">
        <v>43271.73332175926</v>
      </c>
      <c r="AF65" s="154" t="s">
        <v>507</v>
      </c>
      <c r="AG65" s="34"/>
      <c r="AH65" s="34"/>
      <c r="AI65" s="34"/>
      <c r="AJ65" s="34"/>
      <c r="AK65" s="34"/>
      <c r="AL65" s="34"/>
      <c r="AM65" s="34"/>
      <c r="AN65" s="34"/>
      <c r="AO65" s="34"/>
      <c r="AP65" s="34"/>
      <c r="AQ65" s="34"/>
      <c r="AR65" s="104"/>
      <c r="AS65" s="104"/>
      <c r="AT65" s="104">
        <v>43271.73332175926</v>
      </c>
      <c r="AU65" s="76" t="s">
        <v>507</v>
      </c>
      <c r="AV65" s="34"/>
      <c r="AW65" s="34"/>
      <c r="AX65" s="34"/>
      <c r="AY65" s="34"/>
      <c r="AZ65" s="34"/>
      <c r="BA65" s="34"/>
      <c r="BB65" s="34"/>
      <c r="BC65" s="34"/>
      <c r="BD65" s="34"/>
      <c r="BE65" s="34"/>
      <c r="BF65" s="34"/>
      <c r="BG65" s="34"/>
    </row>
    <row r="66" spans="1:59" ht="30">
      <c r="A66" s="100"/>
      <c r="B66" s="177" t="s">
        <v>445</v>
      </c>
      <c r="C66" s="178">
        <v>6</v>
      </c>
      <c r="D66" s="179" t="s">
        <v>71</v>
      </c>
      <c r="E66" s="176" t="s">
        <v>433</v>
      </c>
      <c r="F66" s="175" t="s">
        <v>438</v>
      </c>
      <c r="G66" s="149" t="s">
        <v>14</v>
      </c>
      <c r="H66" s="150" t="s">
        <v>5</v>
      </c>
      <c r="I66" s="149" t="s">
        <v>14</v>
      </c>
      <c r="J66" s="150" t="s">
        <v>5</v>
      </c>
      <c r="K66" s="149" t="s">
        <v>14</v>
      </c>
      <c r="L66" s="150" t="s">
        <v>5</v>
      </c>
      <c r="M66" s="149" t="s">
        <v>14</v>
      </c>
      <c r="N66" s="150" t="s">
        <v>5</v>
      </c>
      <c r="O66" s="149" t="s">
        <v>14</v>
      </c>
      <c r="P66" s="150" t="s">
        <v>5</v>
      </c>
      <c r="Q66" s="166"/>
      <c r="R66" s="166"/>
      <c r="S66" s="166"/>
      <c r="T66" s="166"/>
      <c r="U66" s="166"/>
      <c r="V66" s="166"/>
      <c r="W66" s="166"/>
      <c r="X66" s="166"/>
      <c r="Y66" s="166"/>
      <c r="Z66" s="166"/>
      <c r="AA66" s="151" t="s">
        <v>382</v>
      </c>
      <c r="AB66" s="152"/>
      <c r="AC66" s="164"/>
      <c r="AD66" s="152"/>
      <c r="AE66" s="153">
        <v>43271.73332175926</v>
      </c>
      <c r="AF66" s="154" t="s">
        <v>507</v>
      </c>
      <c r="AG66" s="34"/>
      <c r="AH66" s="34"/>
      <c r="AI66" s="34"/>
      <c r="AJ66" s="34"/>
      <c r="AK66" s="34"/>
      <c r="AL66" s="34"/>
      <c r="AM66" s="34"/>
      <c r="AN66" s="34"/>
      <c r="AO66" s="34"/>
      <c r="AP66" s="34"/>
      <c r="AQ66" s="34"/>
      <c r="AR66" s="104"/>
      <c r="AS66" s="104"/>
      <c r="AT66" s="104">
        <v>43271.73332175926</v>
      </c>
      <c r="AU66" s="76" t="s">
        <v>507</v>
      </c>
      <c r="AV66" s="34"/>
      <c r="AW66" s="34"/>
      <c r="AX66" s="34"/>
      <c r="AY66" s="34"/>
      <c r="AZ66" s="34"/>
      <c r="BA66" s="34"/>
      <c r="BB66" s="34"/>
      <c r="BC66" s="34"/>
      <c r="BD66" s="34"/>
      <c r="BE66" s="34"/>
      <c r="BF66" s="34"/>
      <c r="BG66" s="34"/>
    </row>
    <row r="67" spans="1:59" ht="30">
      <c r="A67" s="100"/>
      <c r="B67" s="177" t="s">
        <v>446</v>
      </c>
      <c r="C67" s="178">
        <v>6</v>
      </c>
      <c r="D67" s="179" t="s">
        <v>71</v>
      </c>
      <c r="E67" s="176" t="s">
        <v>434</v>
      </c>
      <c r="F67" s="175" t="s">
        <v>439</v>
      </c>
      <c r="G67" s="149" t="s">
        <v>14</v>
      </c>
      <c r="H67" s="150" t="s">
        <v>5</v>
      </c>
      <c r="I67" s="149" t="s">
        <v>14</v>
      </c>
      <c r="J67" s="150" t="s">
        <v>5</v>
      </c>
      <c r="K67" s="149" t="s">
        <v>14</v>
      </c>
      <c r="L67" s="150" t="s">
        <v>5</v>
      </c>
      <c r="M67" s="149" t="s">
        <v>14</v>
      </c>
      <c r="N67" s="150" t="s">
        <v>5</v>
      </c>
      <c r="O67" s="149" t="s">
        <v>14</v>
      </c>
      <c r="P67" s="150" t="s">
        <v>5</v>
      </c>
      <c r="Q67" s="166"/>
      <c r="R67" s="166"/>
      <c r="S67" s="166"/>
      <c r="T67" s="166"/>
      <c r="U67" s="166"/>
      <c r="V67" s="166"/>
      <c r="W67" s="166"/>
      <c r="X67" s="166"/>
      <c r="Y67" s="166"/>
      <c r="Z67" s="166"/>
      <c r="AA67" s="151" t="s">
        <v>382</v>
      </c>
      <c r="AB67" s="152"/>
      <c r="AC67" s="164"/>
      <c r="AD67" s="152"/>
      <c r="AE67" s="153">
        <v>43271.73332175926</v>
      </c>
      <c r="AF67" s="154" t="s">
        <v>507</v>
      </c>
      <c r="AG67" s="34"/>
      <c r="AH67" s="34"/>
      <c r="AI67" s="34"/>
      <c r="AJ67" s="34"/>
      <c r="AK67" s="34"/>
      <c r="AL67" s="34"/>
      <c r="AM67" s="34"/>
      <c r="AN67" s="34"/>
      <c r="AO67" s="34"/>
      <c r="AP67" s="34"/>
      <c r="AQ67" s="34"/>
      <c r="AR67" s="104"/>
      <c r="AS67" s="104"/>
      <c r="AT67" s="104">
        <v>43271.73332175926</v>
      </c>
      <c r="AU67" s="76" t="s">
        <v>507</v>
      </c>
      <c r="AV67" s="34"/>
      <c r="AW67" s="34"/>
      <c r="AX67" s="34"/>
      <c r="AY67" s="34"/>
      <c r="AZ67" s="34"/>
      <c r="BA67" s="34"/>
      <c r="BB67" s="34"/>
      <c r="BC67" s="34"/>
      <c r="BD67" s="34"/>
      <c r="BE67" s="34"/>
      <c r="BF67" s="34"/>
      <c r="BG67" s="34"/>
    </row>
    <row r="68" spans="1:59" ht="30">
      <c r="A68" s="100"/>
      <c r="B68" s="177" t="s">
        <v>447</v>
      </c>
      <c r="C68" s="178">
        <v>6</v>
      </c>
      <c r="D68" s="179" t="s">
        <v>71</v>
      </c>
      <c r="E68" s="176" t="s">
        <v>435</v>
      </c>
      <c r="F68" s="175" t="s">
        <v>440</v>
      </c>
      <c r="G68" s="149" t="s">
        <v>14</v>
      </c>
      <c r="H68" s="150" t="s">
        <v>5</v>
      </c>
      <c r="I68" s="149" t="s">
        <v>14</v>
      </c>
      <c r="J68" s="150" t="s">
        <v>5</v>
      </c>
      <c r="K68" s="149" t="s">
        <v>14</v>
      </c>
      <c r="L68" s="150" t="s">
        <v>5</v>
      </c>
      <c r="M68" s="149" t="s">
        <v>14</v>
      </c>
      <c r="N68" s="150" t="s">
        <v>5</v>
      </c>
      <c r="O68" s="149" t="s">
        <v>14</v>
      </c>
      <c r="P68" s="150" t="s">
        <v>5</v>
      </c>
      <c r="Q68" s="166"/>
      <c r="R68" s="166"/>
      <c r="S68" s="166"/>
      <c r="T68" s="166"/>
      <c r="U68" s="166"/>
      <c r="V68" s="166"/>
      <c r="W68" s="166"/>
      <c r="X68" s="166"/>
      <c r="Y68" s="166"/>
      <c r="Z68" s="166"/>
      <c r="AA68" s="151" t="s">
        <v>382</v>
      </c>
      <c r="AB68" s="152"/>
      <c r="AC68" s="164"/>
      <c r="AD68" s="152"/>
      <c r="AE68" s="153">
        <v>43271.73332175926</v>
      </c>
      <c r="AF68" s="154" t="s">
        <v>507</v>
      </c>
      <c r="AG68" s="34"/>
      <c r="AH68" s="34"/>
      <c r="AI68" s="34"/>
      <c r="AJ68" s="34"/>
      <c r="AK68" s="34"/>
      <c r="AL68" s="34"/>
      <c r="AM68" s="34"/>
      <c r="AN68" s="34"/>
      <c r="AO68" s="34"/>
      <c r="AP68" s="34"/>
      <c r="AQ68" s="34"/>
      <c r="AR68" s="104"/>
      <c r="AS68" s="104"/>
      <c r="AT68" s="104">
        <v>43271.73332175926</v>
      </c>
      <c r="AU68" s="76" t="s">
        <v>507</v>
      </c>
      <c r="AV68" s="34"/>
      <c r="AW68" s="34"/>
      <c r="AX68" s="34"/>
      <c r="AY68" s="34"/>
      <c r="AZ68" s="34"/>
      <c r="BA68" s="34"/>
      <c r="BB68" s="34"/>
      <c r="BC68" s="34"/>
      <c r="BD68" s="34"/>
      <c r="BE68" s="34"/>
      <c r="BF68" s="34"/>
      <c r="BG68" s="34"/>
    </row>
    <row r="69" spans="1:59" ht="30">
      <c r="A69" s="100"/>
      <c r="B69" s="177" t="s">
        <v>448</v>
      </c>
      <c r="C69" s="178">
        <v>6</v>
      </c>
      <c r="D69" s="179" t="s">
        <v>71</v>
      </c>
      <c r="E69" s="176" t="s">
        <v>436</v>
      </c>
      <c r="F69" s="175" t="s">
        <v>441</v>
      </c>
      <c r="G69" s="149" t="s">
        <v>14</v>
      </c>
      <c r="H69" s="150" t="s">
        <v>5</v>
      </c>
      <c r="I69" s="149" t="s">
        <v>14</v>
      </c>
      <c r="J69" s="150" t="s">
        <v>5</v>
      </c>
      <c r="K69" s="149" t="s">
        <v>14</v>
      </c>
      <c r="L69" s="150" t="s">
        <v>5</v>
      </c>
      <c r="M69" s="149" t="s">
        <v>14</v>
      </c>
      <c r="N69" s="150" t="s">
        <v>5</v>
      </c>
      <c r="O69" s="149" t="s">
        <v>14</v>
      </c>
      <c r="P69" s="150" t="s">
        <v>5</v>
      </c>
      <c r="Q69" s="166"/>
      <c r="R69" s="166"/>
      <c r="S69" s="166"/>
      <c r="T69" s="166"/>
      <c r="U69" s="166"/>
      <c r="V69" s="166"/>
      <c r="W69" s="166"/>
      <c r="X69" s="166"/>
      <c r="Y69" s="166"/>
      <c r="Z69" s="166"/>
      <c r="AA69" s="151" t="s">
        <v>382</v>
      </c>
      <c r="AB69" s="152"/>
      <c r="AC69" s="164"/>
      <c r="AD69" s="152"/>
      <c r="AE69" s="153">
        <v>43271.73332175926</v>
      </c>
      <c r="AF69" s="154" t="s">
        <v>507</v>
      </c>
      <c r="AG69" s="34"/>
      <c r="AH69" s="34"/>
      <c r="AI69" s="34"/>
      <c r="AJ69" s="34"/>
      <c r="AK69" s="34"/>
      <c r="AL69" s="34"/>
      <c r="AM69" s="34"/>
      <c r="AN69" s="34"/>
      <c r="AO69" s="34"/>
      <c r="AP69" s="34"/>
      <c r="AQ69" s="34"/>
      <c r="AR69" s="104"/>
      <c r="AS69" s="104"/>
      <c r="AT69" s="104">
        <v>43271.73332175926</v>
      </c>
      <c r="AU69" s="76" t="s">
        <v>507</v>
      </c>
      <c r="AV69" s="34"/>
      <c r="AW69" s="34"/>
      <c r="AX69" s="34"/>
      <c r="AY69" s="34"/>
      <c r="AZ69" s="34"/>
      <c r="BA69" s="34"/>
      <c r="BB69" s="34"/>
      <c r="BC69" s="34"/>
      <c r="BD69" s="34"/>
      <c r="BE69" s="34"/>
      <c r="BF69" s="34"/>
      <c r="BG69" s="34"/>
    </row>
    <row r="70" spans="1:59" ht="30">
      <c r="A70" s="100"/>
      <c r="B70" s="177" t="s">
        <v>451</v>
      </c>
      <c r="C70" s="178">
        <v>5</v>
      </c>
      <c r="D70" s="179" t="s">
        <v>71</v>
      </c>
      <c r="E70" s="176" t="s">
        <v>437</v>
      </c>
      <c r="F70" s="175" t="s">
        <v>442</v>
      </c>
      <c r="G70" s="149" t="s">
        <v>14</v>
      </c>
      <c r="H70" s="150" t="s">
        <v>5</v>
      </c>
      <c r="I70" s="149" t="s">
        <v>14</v>
      </c>
      <c r="J70" s="150" t="s">
        <v>5</v>
      </c>
      <c r="K70" s="149" t="s">
        <v>14</v>
      </c>
      <c r="L70" s="150" t="s">
        <v>5</v>
      </c>
      <c r="M70" s="149" t="s">
        <v>14</v>
      </c>
      <c r="N70" s="150" t="s">
        <v>5</v>
      </c>
      <c r="O70" s="149" t="s">
        <v>14</v>
      </c>
      <c r="P70" s="150" t="s">
        <v>5</v>
      </c>
      <c r="Q70" s="166"/>
      <c r="R70" s="166"/>
      <c r="S70" s="166"/>
      <c r="T70" s="166"/>
      <c r="U70" s="166"/>
      <c r="V70" s="166"/>
      <c r="W70" s="166"/>
      <c r="X70" s="166"/>
      <c r="Y70" s="166"/>
      <c r="Z70" s="166"/>
      <c r="AA70" s="151" t="s">
        <v>382</v>
      </c>
      <c r="AB70" s="152"/>
      <c r="AC70" s="164"/>
      <c r="AD70" s="152"/>
      <c r="AE70" s="153">
        <v>43271.73332175926</v>
      </c>
      <c r="AF70" s="154" t="s">
        <v>507</v>
      </c>
      <c r="AG70" s="34"/>
      <c r="AH70" s="34"/>
      <c r="AI70" s="34"/>
      <c r="AJ70" s="34"/>
      <c r="AK70" s="34"/>
      <c r="AL70" s="34"/>
      <c r="AM70" s="34"/>
      <c r="AN70" s="34"/>
      <c r="AO70" s="34"/>
      <c r="AP70" s="34"/>
      <c r="AQ70" s="34"/>
      <c r="AR70" s="104"/>
      <c r="AS70" s="104"/>
      <c r="AT70" s="104">
        <v>43271.73332175926</v>
      </c>
      <c r="AU70" s="76" t="s">
        <v>507</v>
      </c>
      <c r="AV70" s="34"/>
      <c r="AW70" s="34"/>
      <c r="AX70" s="34"/>
      <c r="AY70" s="34"/>
      <c r="AZ70" s="34"/>
      <c r="BA70" s="34"/>
      <c r="BB70" s="34"/>
      <c r="BC70" s="34"/>
      <c r="BD70" s="34"/>
      <c r="BE70" s="34"/>
      <c r="BF70" s="34"/>
      <c r="BG70" s="34"/>
    </row>
    <row r="71" spans="1:59" ht="30">
      <c r="A71" s="100"/>
      <c r="B71" s="177" t="s">
        <v>497</v>
      </c>
      <c r="C71" s="178">
        <v>5</v>
      </c>
      <c r="D71" s="179" t="s">
        <v>71</v>
      </c>
      <c r="E71" s="176" t="s">
        <v>449</v>
      </c>
      <c r="F71" s="175" t="s">
        <v>450</v>
      </c>
      <c r="G71" s="149" t="s">
        <v>14</v>
      </c>
      <c r="H71" s="150" t="s">
        <v>5</v>
      </c>
      <c r="I71" s="149" t="s">
        <v>14</v>
      </c>
      <c r="J71" s="150" t="s">
        <v>5</v>
      </c>
      <c r="K71" s="149" t="s">
        <v>14</v>
      </c>
      <c r="L71" s="150" t="s">
        <v>5</v>
      </c>
      <c r="M71" s="149" t="s">
        <v>14</v>
      </c>
      <c r="N71" s="150" t="s">
        <v>5</v>
      </c>
      <c r="O71" s="149" t="s">
        <v>14</v>
      </c>
      <c r="P71" s="150" t="s">
        <v>5</v>
      </c>
      <c r="Q71" s="166"/>
      <c r="R71" s="166"/>
      <c r="S71" s="166"/>
      <c r="T71" s="166"/>
      <c r="U71" s="166"/>
      <c r="V71" s="166"/>
      <c r="W71" s="166"/>
      <c r="X71" s="166"/>
      <c r="Y71" s="166"/>
      <c r="Z71" s="166"/>
      <c r="AA71" s="151"/>
      <c r="AB71" s="152"/>
      <c r="AC71" s="164"/>
      <c r="AD71" s="152"/>
      <c r="AE71" s="153">
        <v>43271.73332175926</v>
      </c>
      <c r="AF71" s="154" t="s">
        <v>507</v>
      </c>
      <c r="AG71" s="34"/>
      <c r="AH71" s="34"/>
      <c r="AI71" s="34"/>
      <c r="AJ71" s="34"/>
      <c r="AK71" s="34"/>
      <c r="AL71" s="34"/>
      <c r="AM71" s="34"/>
      <c r="AN71" s="34"/>
      <c r="AO71" s="34"/>
      <c r="AP71" s="34"/>
      <c r="AQ71" s="34"/>
      <c r="AR71" s="104"/>
      <c r="AS71" s="104"/>
      <c r="AT71" s="104">
        <v>43271.73332175926</v>
      </c>
      <c r="AU71" s="76" t="s">
        <v>507</v>
      </c>
      <c r="AV71" s="34"/>
      <c r="AW71" s="34"/>
      <c r="AX71" s="34"/>
      <c r="AY71" s="34"/>
      <c r="AZ71" s="34"/>
      <c r="BA71" s="34"/>
      <c r="BB71" s="34"/>
      <c r="BC71" s="34"/>
      <c r="BD71" s="34"/>
      <c r="BE71" s="34"/>
      <c r="BF71" s="34"/>
      <c r="BG71" s="34"/>
    </row>
    <row r="72" spans="1:59" ht="30">
      <c r="A72" s="100"/>
      <c r="B72" s="177" t="s">
        <v>498</v>
      </c>
      <c r="C72" s="178">
        <v>5</v>
      </c>
      <c r="D72" s="179" t="s">
        <v>71</v>
      </c>
      <c r="E72" s="176" t="s">
        <v>452</v>
      </c>
      <c r="F72" s="175" t="s">
        <v>453</v>
      </c>
      <c r="G72" s="149" t="s">
        <v>14</v>
      </c>
      <c r="H72" s="150" t="s">
        <v>5</v>
      </c>
      <c r="I72" s="149" t="s">
        <v>14</v>
      </c>
      <c r="J72" s="150" t="s">
        <v>5</v>
      </c>
      <c r="K72" s="149" t="s">
        <v>14</v>
      </c>
      <c r="L72" s="150" t="s">
        <v>5</v>
      </c>
      <c r="M72" s="149" t="s">
        <v>14</v>
      </c>
      <c r="N72" s="150" t="s">
        <v>5</v>
      </c>
      <c r="O72" s="149" t="s">
        <v>14</v>
      </c>
      <c r="P72" s="150" t="s">
        <v>5</v>
      </c>
      <c r="Q72" s="166"/>
      <c r="R72" s="166"/>
      <c r="S72" s="166"/>
      <c r="T72" s="166"/>
      <c r="U72" s="166"/>
      <c r="V72" s="166"/>
      <c r="W72" s="166"/>
      <c r="X72" s="166"/>
      <c r="Y72" s="166"/>
      <c r="Z72" s="166"/>
      <c r="AA72" s="151" t="s">
        <v>454</v>
      </c>
      <c r="AB72" s="152"/>
      <c r="AC72" s="164"/>
      <c r="AD72" s="152"/>
      <c r="AE72" s="153">
        <v>43271.73332175926</v>
      </c>
      <c r="AF72" s="154" t="s">
        <v>507</v>
      </c>
      <c r="AG72" s="34"/>
      <c r="AH72" s="34"/>
      <c r="AI72" s="34"/>
      <c r="AJ72" s="34"/>
      <c r="AK72" s="34"/>
      <c r="AL72" s="34"/>
      <c r="AM72" s="34"/>
      <c r="AN72" s="34"/>
      <c r="AO72" s="34"/>
      <c r="AP72" s="34"/>
      <c r="AQ72" s="34"/>
      <c r="AR72" s="104"/>
      <c r="AS72" s="104"/>
      <c r="AT72" s="104">
        <v>43271.73332175926</v>
      </c>
      <c r="AU72" s="76" t="s">
        <v>507</v>
      </c>
      <c r="AV72" s="34"/>
      <c r="AW72" s="34"/>
      <c r="AX72" s="34"/>
      <c r="AY72" s="34"/>
      <c r="AZ72" s="34"/>
      <c r="BA72" s="34"/>
      <c r="BB72" s="34"/>
      <c r="BC72" s="34"/>
      <c r="BD72" s="34"/>
      <c r="BE72" s="34"/>
      <c r="BF72" s="34"/>
      <c r="BG72" s="34"/>
    </row>
    <row r="73" spans="1:59" ht="60">
      <c r="A73" s="100"/>
      <c r="B73" s="145" t="s">
        <v>395</v>
      </c>
      <c r="C73" s="146">
        <v>2</v>
      </c>
      <c r="D73" s="147" t="s">
        <v>79</v>
      </c>
      <c r="E73" s="147" t="s">
        <v>315</v>
      </c>
      <c r="F73" s="148" t="s">
        <v>316</v>
      </c>
      <c r="G73" s="149" t="s">
        <v>13</v>
      </c>
      <c r="H73" s="150" t="s">
        <v>4</v>
      </c>
      <c r="I73" s="149" t="s">
        <v>13</v>
      </c>
      <c r="J73" s="150" t="s">
        <v>4</v>
      </c>
      <c r="K73" s="149" t="s">
        <v>13</v>
      </c>
      <c r="L73" s="150" t="s">
        <v>4</v>
      </c>
      <c r="M73" s="149" t="s">
        <v>13</v>
      </c>
      <c r="N73" s="150" t="s">
        <v>4</v>
      </c>
      <c r="O73" s="149" t="s">
        <v>13</v>
      </c>
      <c r="P73" s="150" t="s">
        <v>4</v>
      </c>
      <c r="Q73" s="166"/>
      <c r="R73" s="166" t="s">
        <v>25</v>
      </c>
      <c r="S73" s="166"/>
      <c r="T73" s="166" t="s">
        <v>25</v>
      </c>
      <c r="U73" s="166"/>
      <c r="V73" s="166" t="s">
        <v>25</v>
      </c>
      <c r="W73" s="166"/>
      <c r="X73" s="166" t="s">
        <v>25</v>
      </c>
      <c r="Y73" s="166"/>
      <c r="Z73" s="166" t="s">
        <v>25</v>
      </c>
      <c r="AA73" s="151"/>
      <c r="AB73" s="152"/>
      <c r="AC73" s="164" t="s">
        <v>225</v>
      </c>
      <c r="AD73" s="152"/>
      <c r="AE73" s="153">
        <v>43271.73332175926</v>
      </c>
      <c r="AF73" s="154" t="s">
        <v>507</v>
      </c>
      <c r="AG73" s="34"/>
      <c r="AH73" s="34"/>
      <c r="AI73" s="34"/>
      <c r="AJ73" s="34"/>
      <c r="AK73" s="34"/>
      <c r="AL73" s="34"/>
      <c r="AM73" s="34"/>
      <c r="AN73" s="34"/>
      <c r="AO73" s="34"/>
      <c r="AP73" s="34"/>
      <c r="AQ73" s="34"/>
      <c r="AR73" s="104"/>
      <c r="AS73" s="104"/>
      <c r="AT73" s="104">
        <v>43271.73332175926</v>
      </c>
      <c r="AU73" s="76" t="s">
        <v>507</v>
      </c>
      <c r="AV73" s="34"/>
      <c r="AW73" s="34"/>
      <c r="AX73" s="34"/>
      <c r="AY73" s="34"/>
      <c r="AZ73" s="34"/>
      <c r="BA73" s="34"/>
      <c r="BB73" s="34"/>
      <c r="BC73" s="34"/>
      <c r="BD73" s="34"/>
      <c r="BE73" s="34"/>
      <c r="BF73" s="34"/>
      <c r="BG73" s="34"/>
    </row>
    <row r="74" spans="1:59" ht="30">
      <c r="A74" s="100"/>
      <c r="B74" s="145" t="s">
        <v>396</v>
      </c>
      <c r="C74" s="146">
        <v>2</v>
      </c>
      <c r="D74" s="147" t="s">
        <v>79</v>
      </c>
      <c r="E74" s="147" t="s">
        <v>317</v>
      </c>
      <c r="F74" s="148" t="s">
        <v>318</v>
      </c>
      <c r="G74" s="149" t="s">
        <v>13</v>
      </c>
      <c r="H74" s="150" t="s">
        <v>4</v>
      </c>
      <c r="I74" s="149" t="s">
        <v>13</v>
      </c>
      <c r="J74" s="150" t="s">
        <v>4</v>
      </c>
      <c r="K74" s="149" t="s">
        <v>13</v>
      </c>
      <c r="L74" s="150" t="s">
        <v>4</v>
      </c>
      <c r="M74" s="149" t="s">
        <v>15</v>
      </c>
      <c r="N74" s="150" t="s">
        <v>178</v>
      </c>
      <c r="O74" s="149" t="s">
        <v>13</v>
      </c>
      <c r="P74" s="150" t="s">
        <v>4</v>
      </c>
      <c r="Q74" s="166"/>
      <c r="R74" s="166" t="s">
        <v>25</v>
      </c>
      <c r="S74" s="166"/>
      <c r="T74" s="166" t="s">
        <v>25</v>
      </c>
      <c r="U74" s="166"/>
      <c r="V74" s="166" t="s">
        <v>25</v>
      </c>
      <c r="W74" s="166"/>
      <c r="X74" s="166" t="s">
        <v>25</v>
      </c>
      <c r="Y74" s="166"/>
      <c r="Z74" s="166" t="s">
        <v>25</v>
      </c>
      <c r="AA74" s="151"/>
      <c r="AB74" s="152"/>
      <c r="AC74" s="164" t="s">
        <v>225</v>
      </c>
      <c r="AD74" s="152"/>
      <c r="AE74" s="153">
        <v>43271.73332175926</v>
      </c>
      <c r="AF74" s="154" t="s">
        <v>507</v>
      </c>
      <c r="AG74" s="34"/>
      <c r="AH74" s="34"/>
      <c r="AI74" s="34"/>
      <c r="AJ74" s="34"/>
      <c r="AK74" s="34"/>
      <c r="AL74" s="34"/>
      <c r="AM74" s="34"/>
      <c r="AN74" s="34"/>
      <c r="AO74" s="34"/>
      <c r="AP74" s="34"/>
      <c r="AQ74" s="34"/>
      <c r="AR74" s="104"/>
      <c r="AS74" s="104"/>
      <c r="AT74" s="104">
        <v>43271.73332175926</v>
      </c>
      <c r="AU74" s="76" t="s">
        <v>507</v>
      </c>
      <c r="AV74" s="34"/>
      <c r="AW74" s="34"/>
      <c r="AX74" s="34"/>
      <c r="AY74" s="34"/>
      <c r="AZ74" s="34"/>
      <c r="BA74" s="34"/>
      <c r="BB74" s="34"/>
      <c r="BC74" s="34"/>
      <c r="BD74" s="34"/>
      <c r="BE74" s="34"/>
      <c r="BF74" s="34"/>
      <c r="BG74" s="34"/>
    </row>
    <row r="75" spans="1:59" ht="45">
      <c r="A75" s="100"/>
      <c r="B75" s="145" t="s">
        <v>397</v>
      </c>
      <c r="C75" s="146">
        <v>2</v>
      </c>
      <c r="D75" s="147" t="s">
        <v>79</v>
      </c>
      <c r="E75" s="147" t="s">
        <v>319</v>
      </c>
      <c r="F75" s="148" t="s">
        <v>320</v>
      </c>
      <c r="G75" s="149" t="s">
        <v>13</v>
      </c>
      <c r="H75" s="150" t="s">
        <v>4</v>
      </c>
      <c r="I75" s="149" t="s">
        <v>13</v>
      </c>
      <c r="J75" s="150" t="s">
        <v>4</v>
      </c>
      <c r="K75" s="149" t="s">
        <v>13</v>
      </c>
      <c r="L75" s="150" t="s">
        <v>5</v>
      </c>
      <c r="M75" s="149" t="s">
        <v>13</v>
      </c>
      <c r="N75" s="150" t="s">
        <v>4</v>
      </c>
      <c r="O75" s="149" t="s">
        <v>13</v>
      </c>
      <c r="P75" s="150" t="s">
        <v>5</v>
      </c>
      <c r="Q75" s="166"/>
      <c r="R75" s="166" t="s">
        <v>25</v>
      </c>
      <c r="S75" s="166"/>
      <c r="T75" s="166" t="s">
        <v>25</v>
      </c>
      <c r="U75" s="166"/>
      <c r="V75" s="166" t="s">
        <v>25</v>
      </c>
      <c r="W75" s="166"/>
      <c r="X75" s="166" t="s">
        <v>25</v>
      </c>
      <c r="Y75" s="166"/>
      <c r="Z75" s="166" t="s">
        <v>25</v>
      </c>
      <c r="AA75" s="151"/>
      <c r="AB75" s="152" t="s">
        <v>470</v>
      </c>
      <c r="AC75" s="164" t="s">
        <v>225</v>
      </c>
      <c r="AD75" s="152"/>
      <c r="AE75" s="153">
        <v>43271.73332175926</v>
      </c>
      <c r="AF75" s="154" t="s">
        <v>507</v>
      </c>
      <c r="AG75" s="34"/>
      <c r="AH75" s="34"/>
      <c r="AI75" s="34"/>
      <c r="AJ75" s="34"/>
      <c r="AK75" s="34"/>
      <c r="AL75" s="34"/>
      <c r="AM75" s="34"/>
      <c r="AN75" s="34"/>
      <c r="AO75" s="34"/>
      <c r="AP75" s="34"/>
      <c r="AQ75" s="34"/>
      <c r="AR75" s="104"/>
      <c r="AS75" s="104"/>
      <c r="AT75" s="104">
        <v>43271.73332175926</v>
      </c>
      <c r="AU75" s="76" t="s">
        <v>507</v>
      </c>
      <c r="AV75" s="34"/>
      <c r="AW75" s="34"/>
      <c r="AX75" s="34"/>
      <c r="AY75" s="34"/>
      <c r="AZ75" s="34"/>
      <c r="BA75" s="34"/>
      <c r="BB75" s="34"/>
      <c r="BC75" s="34"/>
      <c r="BD75" s="34"/>
      <c r="BE75" s="34"/>
      <c r="BF75" s="34"/>
      <c r="BG75" s="34"/>
    </row>
    <row r="76" spans="1:59" ht="45">
      <c r="A76" s="100"/>
      <c r="B76" s="145" t="s">
        <v>398</v>
      </c>
      <c r="C76" s="146">
        <v>2</v>
      </c>
      <c r="D76" s="147" t="s">
        <v>79</v>
      </c>
      <c r="E76" s="147" t="s">
        <v>321</v>
      </c>
      <c r="F76" s="148" t="s">
        <v>322</v>
      </c>
      <c r="G76" s="149" t="s">
        <v>13</v>
      </c>
      <c r="H76" s="150" t="s">
        <v>4</v>
      </c>
      <c r="I76" s="149" t="s">
        <v>13</v>
      </c>
      <c r="J76" s="150" t="s">
        <v>4</v>
      </c>
      <c r="K76" s="149" t="s">
        <v>13</v>
      </c>
      <c r="L76" s="150" t="s">
        <v>4</v>
      </c>
      <c r="M76" s="149" t="s">
        <v>15</v>
      </c>
      <c r="N76" s="150" t="s">
        <v>178</v>
      </c>
      <c r="O76" s="149" t="s">
        <v>13</v>
      </c>
      <c r="P76" s="150" t="s">
        <v>4</v>
      </c>
      <c r="Q76" s="166"/>
      <c r="R76" s="166" t="s">
        <v>25</v>
      </c>
      <c r="S76" s="166"/>
      <c r="T76" s="166" t="s">
        <v>25</v>
      </c>
      <c r="U76" s="166"/>
      <c r="V76" s="166" t="s">
        <v>25</v>
      </c>
      <c r="W76" s="166"/>
      <c r="X76" s="166" t="s">
        <v>25</v>
      </c>
      <c r="Y76" s="166"/>
      <c r="Z76" s="166" t="s">
        <v>25</v>
      </c>
      <c r="AA76" s="151"/>
      <c r="AB76" s="152"/>
      <c r="AC76" s="164" t="s">
        <v>225</v>
      </c>
      <c r="AD76" s="152"/>
      <c r="AE76" s="153">
        <v>43271.73332175926</v>
      </c>
      <c r="AF76" s="154" t="s">
        <v>507</v>
      </c>
      <c r="AG76" s="34"/>
      <c r="AH76" s="34"/>
      <c r="AI76" s="34"/>
      <c r="AJ76" s="34"/>
      <c r="AK76" s="34"/>
      <c r="AL76" s="34"/>
      <c r="AM76" s="34"/>
      <c r="AN76" s="34"/>
      <c r="AO76" s="34"/>
      <c r="AP76" s="34"/>
      <c r="AQ76" s="34"/>
      <c r="AR76" s="104"/>
      <c r="AS76" s="104"/>
      <c r="AT76" s="104">
        <v>43271.73332175926</v>
      </c>
      <c r="AU76" s="76" t="s">
        <v>507</v>
      </c>
      <c r="AV76" s="34"/>
      <c r="AW76" s="34"/>
      <c r="AX76" s="34"/>
      <c r="AY76" s="34"/>
      <c r="AZ76" s="34"/>
      <c r="BA76" s="34"/>
      <c r="BB76" s="34"/>
      <c r="BC76" s="34"/>
      <c r="BD76" s="34"/>
      <c r="BE76" s="34"/>
      <c r="BF76" s="34"/>
      <c r="BG76" s="34"/>
    </row>
    <row r="77" spans="1:59" ht="135">
      <c r="A77" s="100"/>
      <c r="B77" s="145" t="s">
        <v>399</v>
      </c>
      <c r="C77" s="146">
        <v>2</v>
      </c>
      <c r="D77" s="147" t="s">
        <v>79</v>
      </c>
      <c r="E77" s="147" t="s">
        <v>323</v>
      </c>
      <c r="F77" s="148" t="s">
        <v>324</v>
      </c>
      <c r="G77" s="149" t="s">
        <v>13</v>
      </c>
      <c r="H77" s="150" t="s">
        <v>4</v>
      </c>
      <c r="I77" s="149" t="s">
        <v>13</v>
      </c>
      <c r="J77" s="150" t="s">
        <v>4</v>
      </c>
      <c r="K77" s="149" t="s">
        <v>13</v>
      </c>
      <c r="L77" s="150" t="s">
        <v>4</v>
      </c>
      <c r="M77" s="149" t="s">
        <v>15</v>
      </c>
      <c r="N77" s="150" t="s">
        <v>178</v>
      </c>
      <c r="O77" s="149" t="s">
        <v>13</v>
      </c>
      <c r="P77" s="150" t="s">
        <v>4</v>
      </c>
      <c r="Q77" s="166"/>
      <c r="R77" s="166" t="s">
        <v>25</v>
      </c>
      <c r="S77" s="166"/>
      <c r="T77" s="166" t="s">
        <v>25</v>
      </c>
      <c r="U77" s="166"/>
      <c r="V77" s="166" t="s">
        <v>25</v>
      </c>
      <c r="W77" s="166"/>
      <c r="X77" s="166" t="s">
        <v>25</v>
      </c>
      <c r="Y77" s="166"/>
      <c r="Z77" s="166" t="s">
        <v>25</v>
      </c>
      <c r="AA77" s="151"/>
      <c r="AB77" s="152"/>
      <c r="AC77" s="164" t="s">
        <v>225</v>
      </c>
      <c r="AD77" s="152"/>
      <c r="AE77" s="153">
        <v>43271.73332175926</v>
      </c>
      <c r="AF77" s="154" t="s">
        <v>507</v>
      </c>
      <c r="AG77" s="34"/>
      <c r="AH77" s="34"/>
      <c r="AI77" s="34"/>
      <c r="AJ77" s="34"/>
      <c r="AK77" s="34"/>
      <c r="AL77" s="34"/>
      <c r="AM77" s="34"/>
      <c r="AN77" s="34"/>
      <c r="AO77" s="34"/>
      <c r="AP77" s="34"/>
      <c r="AQ77" s="34"/>
      <c r="AR77" s="104"/>
      <c r="AS77" s="104"/>
      <c r="AT77" s="104">
        <v>43271.73332175926</v>
      </c>
      <c r="AU77" s="76" t="s">
        <v>507</v>
      </c>
      <c r="AV77" s="34"/>
      <c r="AW77" s="34"/>
      <c r="AX77" s="34"/>
      <c r="AY77" s="34"/>
      <c r="AZ77" s="34"/>
      <c r="BA77" s="34"/>
      <c r="BB77" s="34"/>
      <c r="BC77" s="34"/>
      <c r="BD77" s="34"/>
      <c r="BE77" s="34"/>
      <c r="BF77" s="34"/>
      <c r="BG77" s="34"/>
    </row>
    <row r="78" spans="1:59" ht="15.75" thickBot="1">
      <c r="A78" s="100"/>
      <c r="B78" s="134"/>
      <c r="C78" s="135"/>
      <c r="D78" s="136"/>
      <c r="E78" s="136"/>
      <c r="F78" s="137" t="s">
        <v>92</v>
      </c>
      <c r="G78" s="138"/>
      <c r="H78" s="139"/>
      <c r="I78" s="138"/>
      <c r="J78" s="139"/>
      <c r="K78" s="138"/>
      <c r="L78" s="139"/>
      <c r="M78" s="138"/>
      <c r="N78" s="139"/>
      <c r="O78" s="140"/>
      <c r="P78" s="140"/>
      <c r="Q78" s="140"/>
      <c r="R78" s="140"/>
      <c r="S78" s="140"/>
      <c r="T78" s="140"/>
      <c r="U78" s="140"/>
      <c r="V78" s="140"/>
      <c r="W78" s="140"/>
      <c r="X78" s="140"/>
      <c r="Y78" s="140"/>
      <c r="Z78" s="140"/>
      <c r="AA78" s="140"/>
      <c r="AB78" s="141"/>
      <c r="AC78" s="141"/>
      <c r="AD78" s="141"/>
      <c r="AE78" s="142"/>
      <c r="AF78" s="140"/>
      <c r="AG78" s="34"/>
      <c r="AH78" s="34"/>
      <c r="AI78" s="34"/>
      <c r="AJ78" s="34"/>
      <c r="AK78" s="34"/>
      <c r="AL78" s="34"/>
      <c r="AM78" s="34"/>
      <c r="AN78" s="34"/>
      <c r="AO78" s="34"/>
      <c r="AP78" s="34"/>
      <c r="AQ78" s="34"/>
      <c r="AR78" s="105" t="str">
        <f t="shared" ref="AR78" si="0">IF(OR($H78="INHERITED",$H78="ACCEPTED",$J78="INHERITED",$J78="ACCEPTED"),"Y","N")</f>
        <v>N</v>
      </c>
      <c r="AS78" s="105" t="str">
        <f t="shared" ref="AS78" si="1">IF(AE78="","",AE78)</f>
        <v/>
      </c>
      <c r="AT78" s="105"/>
      <c r="AU78" s="96"/>
      <c r="AV78" s="34"/>
      <c r="AW78" s="34"/>
      <c r="AX78" s="34"/>
      <c r="AY78" s="34"/>
      <c r="AZ78" s="34"/>
      <c r="BA78" s="34"/>
      <c r="BB78" s="34"/>
      <c r="BC78" s="34"/>
      <c r="BD78" s="34"/>
      <c r="BE78" s="34"/>
      <c r="BF78" s="34"/>
      <c r="BG78" s="34"/>
    </row>
    <row r="79" spans="1:59">
      <c r="A79" s="34"/>
      <c r="B79" s="65"/>
      <c r="C79" s="34"/>
      <c r="D79" s="66"/>
      <c r="E79" s="66"/>
      <c r="F79" s="34"/>
      <c r="G79" s="34"/>
      <c r="H79" s="34"/>
      <c r="I79" s="67"/>
      <c r="J79" s="68"/>
      <c r="K79" s="68"/>
      <c r="L79" s="68"/>
      <c r="M79" s="68"/>
      <c r="N79" s="68"/>
      <c r="O79" s="34"/>
      <c r="P79" s="34"/>
      <c r="Q79" s="34"/>
      <c r="R79" s="34"/>
      <c r="S79" s="34"/>
      <c r="T79" s="34"/>
      <c r="U79" s="34"/>
      <c r="V79" s="34"/>
      <c r="W79" s="34"/>
      <c r="X79" s="34"/>
      <c r="Y79" s="34"/>
      <c r="Z79" s="34"/>
      <c r="AA79" s="34"/>
      <c r="AB79" s="69"/>
      <c r="AC79" s="69"/>
      <c r="AD79" s="34"/>
      <c r="AE79" s="70"/>
      <c r="AF79" s="71"/>
      <c r="AG79" s="34"/>
      <c r="AH79" s="34"/>
      <c r="AI79" s="34"/>
      <c r="AJ79" s="34"/>
      <c r="AK79" s="34"/>
      <c r="AL79" s="34"/>
      <c r="AM79" s="34"/>
      <c r="AN79" s="34"/>
      <c r="AO79" s="34"/>
      <c r="AP79" s="34"/>
      <c r="AQ79" s="34"/>
      <c r="AR79" s="106"/>
      <c r="AS79" s="106"/>
      <c r="AT79" s="106"/>
      <c r="AU79" s="71"/>
      <c r="AV79" s="34"/>
      <c r="AW79" s="34"/>
      <c r="AX79" s="34"/>
      <c r="AY79" s="34"/>
      <c r="AZ79" s="34"/>
      <c r="BA79" s="34"/>
      <c r="BB79" s="34"/>
      <c r="BC79" s="34"/>
      <c r="BD79" s="34"/>
      <c r="BE79" s="34"/>
      <c r="BF79" s="34"/>
      <c r="BG79" s="34"/>
    </row>
    <row r="80" spans="1:59">
      <c r="A80" s="34"/>
      <c r="B80" s="65"/>
      <c r="C80" s="34"/>
      <c r="D80" s="72"/>
      <c r="E80" s="72"/>
      <c r="F80" s="34"/>
      <c r="G80" s="34"/>
      <c r="H80" s="34"/>
      <c r="I80" s="67"/>
      <c r="J80" s="67"/>
      <c r="K80" s="67"/>
      <c r="L80" s="67"/>
      <c r="M80" s="67"/>
      <c r="N80" s="67"/>
      <c r="O80" s="34"/>
      <c r="P80" s="34"/>
      <c r="Q80" s="34"/>
      <c r="R80" s="34"/>
      <c r="S80" s="34"/>
      <c r="T80" s="34"/>
      <c r="U80" s="34"/>
      <c r="V80" s="34"/>
      <c r="W80" s="34"/>
      <c r="X80" s="34"/>
      <c r="Y80" s="34"/>
      <c r="Z80" s="34"/>
      <c r="AA80" s="34"/>
      <c r="AB80" s="69"/>
      <c r="AC80" s="69"/>
      <c r="AD80" s="34"/>
      <c r="AE80" s="70"/>
      <c r="AF80" s="71"/>
      <c r="AG80" s="34"/>
      <c r="AH80" s="34"/>
      <c r="AI80" s="34"/>
      <c r="AJ80" s="34"/>
      <c r="AK80" s="34"/>
      <c r="AL80" s="34"/>
      <c r="AM80" s="34"/>
      <c r="AN80" s="34"/>
      <c r="AO80" s="34"/>
      <c r="AP80" s="34"/>
      <c r="AQ80" s="34"/>
      <c r="AR80" s="106"/>
      <c r="AS80" s="106"/>
      <c r="AT80" s="106"/>
      <c r="AU80" s="71"/>
      <c r="AV80" s="34"/>
      <c r="AW80" s="34"/>
      <c r="AX80" s="34"/>
      <c r="AY80" s="34"/>
      <c r="AZ80" s="34"/>
      <c r="BA80" s="34"/>
      <c r="BB80" s="34"/>
      <c r="BC80" s="34"/>
      <c r="BD80" s="34"/>
      <c r="BE80" s="34"/>
      <c r="BF80" s="34"/>
      <c r="BG80" s="34"/>
    </row>
    <row r="81" spans="1:59">
      <c r="A81" s="34"/>
      <c r="B81" s="65"/>
      <c r="C81" s="34"/>
      <c r="D81" s="34"/>
      <c r="E81" s="34"/>
      <c r="F81" s="34"/>
      <c r="G81" s="34"/>
      <c r="H81" s="34"/>
      <c r="I81" s="67"/>
      <c r="J81" s="67"/>
      <c r="K81" s="67"/>
      <c r="L81" s="67"/>
      <c r="M81" s="67"/>
      <c r="N81" s="67"/>
      <c r="O81" s="34"/>
      <c r="P81" s="34"/>
      <c r="Q81" s="34"/>
      <c r="R81" s="34"/>
      <c r="S81" s="34"/>
      <c r="T81" s="34"/>
      <c r="U81" s="34"/>
      <c r="V81" s="34"/>
      <c r="W81" s="34"/>
      <c r="X81" s="34"/>
      <c r="Y81" s="34"/>
      <c r="Z81" s="34"/>
      <c r="AA81" s="34"/>
      <c r="AB81" s="69"/>
      <c r="AC81" s="69"/>
      <c r="AD81" s="34"/>
      <c r="AE81" s="70"/>
      <c r="AF81" s="71"/>
      <c r="AG81" s="34"/>
      <c r="AH81" s="34"/>
      <c r="AI81" s="34"/>
      <c r="AJ81" s="34"/>
      <c r="AK81" s="34"/>
      <c r="AL81" s="34"/>
      <c r="AM81" s="34"/>
      <c r="AN81" s="34"/>
      <c r="AO81" s="34"/>
      <c r="AP81" s="34"/>
      <c r="AQ81" s="34"/>
      <c r="AR81" s="106"/>
      <c r="AS81" s="106"/>
      <c r="AT81" s="106"/>
      <c r="AU81" s="71"/>
      <c r="AV81" s="34"/>
      <c r="AW81" s="34"/>
      <c r="AX81" s="34"/>
      <c r="AY81" s="34"/>
      <c r="AZ81" s="34"/>
      <c r="BA81" s="34"/>
      <c r="BB81" s="34"/>
      <c r="BC81" s="34"/>
      <c r="BD81" s="34"/>
      <c r="BE81" s="34"/>
      <c r="BF81" s="34"/>
      <c r="BG81" s="34"/>
    </row>
    <row r="82" spans="1:59">
      <c r="A82" s="34"/>
      <c r="B82" s="65"/>
      <c r="C82" s="34"/>
      <c r="D82" s="34"/>
      <c r="E82" s="34"/>
      <c r="F82" s="34"/>
      <c r="G82" s="34"/>
      <c r="H82" s="34"/>
      <c r="I82" s="67"/>
      <c r="J82" s="67"/>
      <c r="K82" s="67"/>
      <c r="L82" s="67"/>
      <c r="M82" s="67"/>
      <c r="N82" s="67"/>
      <c r="O82" s="34"/>
      <c r="P82" s="34"/>
      <c r="Q82" s="34"/>
      <c r="R82" s="34"/>
      <c r="S82" s="34"/>
      <c r="T82" s="34"/>
      <c r="U82" s="34"/>
      <c r="V82" s="34"/>
      <c r="W82" s="34"/>
      <c r="X82" s="34"/>
      <c r="Y82" s="34"/>
      <c r="Z82" s="34"/>
      <c r="AA82" s="34"/>
      <c r="AB82" s="69"/>
      <c r="AC82" s="69"/>
      <c r="AD82" s="34"/>
      <c r="AE82" s="70"/>
      <c r="AF82" s="71"/>
      <c r="AG82" s="34"/>
      <c r="AH82" s="34"/>
      <c r="AI82" s="34"/>
      <c r="AJ82" s="34"/>
      <c r="AK82" s="34"/>
      <c r="AL82" s="34"/>
      <c r="AM82" s="34"/>
      <c r="AN82" s="34"/>
      <c r="AO82" s="34"/>
      <c r="AP82" s="34"/>
      <c r="AQ82" s="34"/>
      <c r="AR82" s="106"/>
      <c r="AS82" s="106"/>
      <c r="AT82" s="106"/>
      <c r="AU82" s="71"/>
      <c r="AV82" s="34"/>
      <c r="AW82" s="34"/>
      <c r="AX82" s="34"/>
      <c r="AY82" s="34"/>
      <c r="AZ82" s="34"/>
      <c r="BA82" s="34"/>
      <c r="BB82" s="34"/>
      <c r="BC82" s="34"/>
      <c r="BD82" s="34"/>
      <c r="BE82" s="34"/>
      <c r="BF82" s="34"/>
      <c r="BG82" s="34"/>
    </row>
    <row r="83" spans="1:59">
      <c r="A83" s="34"/>
      <c r="B83" s="65"/>
      <c r="C83" s="34"/>
      <c r="D83" s="34"/>
      <c r="E83" s="34"/>
      <c r="F83" s="34"/>
      <c r="G83" s="34"/>
      <c r="H83" s="34"/>
      <c r="I83" s="67"/>
      <c r="J83" s="67"/>
      <c r="K83" s="67"/>
      <c r="L83" s="67"/>
      <c r="M83" s="67"/>
      <c r="N83" s="67"/>
      <c r="O83" s="34"/>
      <c r="P83" s="34"/>
      <c r="Q83" s="34"/>
      <c r="R83" s="34"/>
      <c r="S83" s="34"/>
      <c r="T83" s="34"/>
      <c r="U83" s="34"/>
      <c r="V83" s="34"/>
      <c r="W83" s="34"/>
      <c r="X83" s="34"/>
      <c r="Y83" s="34"/>
      <c r="Z83" s="34"/>
      <c r="AA83" s="34"/>
      <c r="AB83" s="69"/>
      <c r="AC83" s="69"/>
      <c r="AD83" s="34"/>
      <c r="AE83" s="70"/>
      <c r="AF83" s="71"/>
      <c r="AG83" s="34"/>
      <c r="AH83" s="34"/>
      <c r="AI83" s="34"/>
      <c r="AJ83" s="34"/>
      <c r="AK83" s="34"/>
      <c r="AL83" s="34"/>
      <c r="AM83" s="34"/>
      <c r="AN83" s="34"/>
      <c r="AO83" s="34"/>
      <c r="AP83" s="34"/>
      <c r="AQ83" s="34"/>
      <c r="AR83" s="106"/>
      <c r="AS83" s="106"/>
      <c r="AT83" s="106"/>
      <c r="AU83" s="71"/>
      <c r="AV83" s="34"/>
      <c r="AW83" s="34"/>
      <c r="AX83" s="34"/>
      <c r="AY83" s="34"/>
      <c r="AZ83" s="34"/>
      <c r="BA83" s="34"/>
      <c r="BB83" s="34"/>
      <c r="BC83" s="34"/>
      <c r="BD83" s="34"/>
      <c r="BE83" s="34"/>
      <c r="BF83" s="34"/>
      <c r="BG83" s="34"/>
    </row>
    <row r="84" spans="1:59">
      <c r="A84" s="34"/>
      <c r="B84" s="65"/>
      <c r="C84" s="34"/>
      <c r="D84" s="34"/>
      <c r="E84" s="34"/>
      <c r="F84" s="34"/>
      <c r="G84" s="34"/>
      <c r="H84" s="34"/>
      <c r="I84" s="67"/>
      <c r="J84" s="67"/>
      <c r="K84" s="67"/>
      <c r="L84" s="67"/>
      <c r="M84" s="67"/>
      <c r="N84" s="67"/>
      <c r="O84" s="34"/>
      <c r="P84" s="34"/>
      <c r="Q84" s="34"/>
      <c r="R84" s="34"/>
      <c r="S84" s="34"/>
      <c r="T84" s="34"/>
      <c r="U84" s="34"/>
      <c r="V84" s="34"/>
      <c r="W84" s="34"/>
      <c r="X84" s="34"/>
      <c r="Y84" s="34"/>
      <c r="Z84" s="34"/>
      <c r="AA84" s="34"/>
      <c r="AB84" s="69"/>
      <c r="AC84" s="69"/>
      <c r="AD84" s="34"/>
      <c r="AE84" s="70"/>
      <c r="AF84" s="71"/>
      <c r="AG84" s="34"/>
      <c r="AH84" s="34"/>
      <c r="AI84" s="34"/>
      <c r="AJ84" s="34"/>
      <c r="AK84" s="34"/>
      <c r="AL84" s="34"/>
      <c r="AM84" s="34"/>
      <c r="AN84" s="34"/>
      <c r="AO84" s="34"/>
      <c r="AP84" s="34"/>
      <c r="AQ84" s="34"/>
      <c r="AR84" s="106"/>
      <c r="AS84" s="106"/>
      <c r="AT84" s="106"/>
      <c r="AU84" s="71"/>
      <c r="AV84" s="34"/>
      <c r="AW84" s="34"/>
      <c r="AX84" s="34"/>
      <c r="AY84" s="34"/>
      <c r="AZ84" s="34"/>
      <c r="BA84" s="34"/>
      <c r="BB84" s="34"/>
      <c r="BC84" s="34"/>
      <c r="BD84" s="34"/>
      <c r="BE84" s="34"/>
      <c r="BF84" s="34"/>
      <c r="BG84" s="34"/>
    </row>
    <row r="85" spans="1:59">
      <c r="A85" s="34"/>
      <c r="B85" s="65"/>
      <c r="C85" s="34"/>
      <c r="D85" s="34"/>
      <c r="E85" s="34"/>
      <c r="F85" s="34"/>
      <c r="G85" s="34"/>
      <c r="H85" s="34"/>
      <c r="I85" s="67"/>
      <c r="J85" s="67"/>
      <c r="K85" s="67"/>
      <c r="L85" s="67"/>
      <c r="M85" s="67"/>
      <c r="N85" s="67"/>
      <c r="O85" s="34"/>
      <c r="P85" s="34"/>
      <c r="Q85" s="34"/>
      <c r="R85" s="34"/>
      <c r="S85" s="34"/>
      <c r="T85" s="34"/>
      <c r="U85" s="34"/>
      <c r="V85" s="34"/>
      <c r="W85" s="34"/>
      <c r="X85" s="34"/>
      <c r="Y85" s="34"/>
      <c r="Z85" s="34"/>
      <c r="AA85" s="34"/>
      <c r="AB85" s="69"/>
      <c r="AC85" s="69"/>
      <c r="AD85" s="34"/>
      <c r="AE85" s="70"/>
      <c r="AF85" s="71"/>
      <c r="AG85" s="34"/>
      <c r="AH85" s="34"/>
      <c r="AI85" s="34"/>
      <c r="AJ85" s="34"/>
      <c r="AK85" s="34"/>
      <c r="AL85" s="34"/>
      <c r="AM85" s="34"/>
      <c r="AN85" s="34"/>
      <c r="AO85" s="34"/>
      <c r="AP85" s="34"/>
      <c r="AQ85" s="34"/>
      <c r="AR85" s="106"/>
      <c r="AS85" s="106"/>
      <c r="AT85" s="106"/>
      <c r="AU85" s="71"/>
      <c r="AV85" s="34"/>
      <c r="AW85" s="34"/>
      <c r="AX85" s="34"/>
      <c r="AY85" s="34"/>
      <c r="AZ85" s="34"/>
      <c r="BA85" s="34"/>
      <c r="BB85" s="34"/>
      <c r="BC85" s="34"/>
      <c r="BD85" s="34"/>
      <c r="BE85" s="34"/>
      <c r="BF85" s="34"/>
      <c r="BG85" s="34"/>
    </row>
    <row r="86" spans="1:59">
      <c r="A86" s="34"/>
      <c r="B86" s="65"/>
      <c r="C86" s="34"/>
      <c r="D86" s="34"/>
      <c r="E86" s="34"/>
      <c r="F86" s="34"/>
      <c r="G86" s="34"/>
      <c r="H86" s="34"/>
      <c r="I86" s="67"/>
      <c r="J86" s="67"/>
      <c r="K86" s="67"/>
      <c r="L86" s="67"/>
      <c r="M86" s="67"/>
      <c r="N86" s="67"/>
      <c r="O86" s="34"/>
      <c r="P86" s="34"/>
      <c r="Q86" s="34"/>
      <c r="R86" s="34"/>
      <c r="S86" s="34"/>
      <c r="T86" s="34"/>
      <c r="U86" s="34"/>
      <c r="V86" s="34"/>
      <c r="W86" s="34"/>
      <c r="X86" s="34"/>
      <c r="Y86" s="34"/>
      <c r="Z86" s="34"/>
      <c r="AA86" s="34"/>
      <c r="AB86" s="69"/>
      <c r="AC86" s="69"/>
      <c r="AD86" s="34"/>
      <c r="AE86" s="70"/>
      <c r="AF86" s="71"/>
      <c r="AG86" s="34"/>
      <c r="AH86" s="34"/>
      <c r="AI86" s="34"/>
      <c r="AJ86" s="34"/>
      <c r="AK86" s="34"/>
      <c r="AL86" s="34"/>
      <c r="AM86" s="34"/>
      <c r="AN86" s="34"/>
      <c r="AO86" s="34"/>
      <c r="AP86" s="34"/>
      <c r="AQ86" s="34"/>
      <c r="AR86" s="106"/>
      <c r="AS86" s="106"/>
      <c r="AT86" s="106"/>
      <c r="AU86" s="71"/>
      <c r="AV86" s="34"/>
      <c r="AW86" s="34"/>
      <c r="AX86" s="34"/>
      <c r="AY86" s="34"/>
      <c r="AZ86" s="34"/>
      <c r="BA86" s="34"/>
      <c r="BB86" s="34"/>
      <c r="BC86" s="34"/>
      <c r="BD86" s="34"/>
      <c r="BE86" s="34"/>
      <c r="BF86" s="34"/>
      <c r="BG86" s="34"/>
    </row>
    <row r="87" spans="1:59">
      <c r="A87" s="34"/>
      <c r="B87" s="65"/>
      <c r="C87" s="34"/>
      <c r="D87" s="34"/>
      <c r="E87" s="34"/>
      <c r="F87" s="34"/>
      <c r="G87" s="34"/>
      <c r="H87" s="34"/>
      <c r="I87" s="67"/>
      <c r="J87" s="67"/>
      <c r="K87" s="67"/>
      <c r="L87" s="67"/>
      <c r="M87" s="67"/>
      <c r="N87" s="67"/>
      <c r="O87" s="34"/>
      <c r="P87" s="34"/>
      <c r="Q87" s="34"/>
      <c r="R87" s="34"/>
      <c r="S87" s="34"/>
      <c r="T87" s="34"/>
      <c r="U87" s="34"/>
      <c r="V87" s="34"/>
      <c r="W87" s="34"/>
      <c r="X87" s="34"/>
      <c r="Y87" s="34"/>
      <c r="Z87" s="34"/>
      <c r="AA87" s="34"/>
      <c r="AB87" s="69"/>
      <c r="AC87" s="69"/>
      <c r="AD87" s="34"/>
      <c r="AE87" s="70"/>
      <c r="AF87" s="71"/>
      <c r="AG87" s="34"/>
      <c r="AH87" s="34"/>
      <c r="AI87" s="34"/>
      <c r="AJ87" s="34"/>
      <c r="AK87" s="34"/>
      <c r="AL87" s="34"/>
      <c r="AM87" s="34"/>
      <c r="AN87" s="34"/>
      <c r="AO87" s="34"/>
      <c r="AP87" s="34"/>
      <c r="AQ87" s="34"/>
      <c r="AR87" s="106"/>
      <c r="AS87" s="106"/>
      <c r="AT87" s="106"/>
      <c r="AU87" s="71"/>
      <c r="AV87" s="34"/>
      <c r="AW87" s="34"/>
      <c r="AX87" s="34"/>
      <c r="AY87" s="34"/>
      <c r="AZ87" s="34"/>
      <c r="BA87" s="34"/>
      <c r="BB87" s="34"/>
      <c r="BC87" s="34"/>
      <c r="BD87" s="34"/>
      <c r="BE87" s="34"/>
      <c r="BF87" s="34"/>
      <c r="BG87" s="34"/>
    </row>
    <row r="88" spans="1:59">
      <c r="A88" s="34"/>
      <c r="B88" s="65"/>
      <c r="C88" s="34"/>
      <c r="D88" s="34"/>
      <c r="E88" s="34"/>
      <c r="F88" s="34"/>
      <c r="G88" s="34"/>
      <c r="H88" s="34"/>
      <c r="I88" s="67"/>
      <c r="J88" s="67"/>
      <c r="K88" s="67"/>
      <c r="L88" s="67"/>
      <c r="M88" s="67"/>
      <c r="N88" s="67"/>
      <c r="O88" s="34"/>
      <c r="P88" s="34"/>
      <c r="Q88" s="34"/>
      <c r="R88" s="34"/>
      <c r="S88" s="34"/>
      <c r="T88" s="34"/>
      <c r="U88" s="34"/>
      <c r="V88" s="34"/>
      <c r="W88" s="34"/>
      <c r="X88" s="34"/>
      <c r="Y88" s="34"/>
      <c r="Z88" s="34"/>
      <c r="AA88" s="34"/>
      <c r="AB88" s="69"/>
      <c r="AC88" s="69"/>
      <c r="AD88" s="34"/>
      <c r="AE88" s="70"/>
      <c r="AF88" s="71"/>
      <c r="AG88" s="34"/>
      <c r="AH88" s="34"/>
      <c r="AI88" s="34"/>
      <c r="AJ88" s="34"/>
      <c r="AK88" s="34"/>
      <c r="AL88" s="34"/>
      <c r="AM88" s="34"/>
      <c r="AN88" s="34"/>
      <c r="AO88" s="34"/>
      <c r="AP88" s="34"/>
      <c r="AQ88" s="34"/>
      <c r="AR88" s="106"/>
      <c r="AS88" s="106"/>
      <c r="AT88" s="106"/>
      <c r="AU88" s="71"/>
      <c r="AV88" s="34"/>
      <c r="AW88" s="34"/>
      <c r="AX88" s="34"/>
      <c r="AY88" s="34"/>
      <c r="AZ88" s="34"/>
      <c r="BA88" s="34"/>
      <c r="BB88" s="34"/>
      <c r="BC88" s="34"/>
      <c r="BD88" s="34"/>
      <c r="BE88" s="34"/>
      <c r="BF88" s="34"/>
      <c r="BG88" s="34"/>
    </row>
    <row r="89" spans="1:59">
      <c r="A89" s="34"/>
      <c r="B89" s="65"/>
      <c r="C89" s="34"/>
      <c r="D89" s="34"/>
      <c r="E89" s="34"/>
      <c r="F89" s="34"/>
      <c r="G89" s="34"/>
      <c r="H89" s="34"/>
      <c r="I89" s="67"/>
      <c r="J89" s="67"/>
      <c r="K89" s="67"/>
      <c r="L89" s="67"/>
      <c r="M89" s="67"/>
      <c r="N89" s="67"/>
      <c r="O89" s="34"/>
      <c r="P89" s="34"/>
      <c r="Q89" s="34"/>
      <c r="R89" s="34"/>
      <c r="S89" s="34"/>
      <c r="T89" s="34"/>
      <c r="U89" s="34"/>
      <c r="V89" s="34"/>
      <c r="W89" s="34"/>
      <c r="X89" s="34"/>
      <c r="Y89" s="34"/>
      <c r="Z89" s="34"/>
      <c r="AA89" s="34"/>
      <c r="AB89" s="69"/>
      <c r="AC89" s="69"/>
      <c r="AD89" s="34"/>
      <c r="AE89" s="70"/>
      <c r="AF89" s="71"/>
      <c r="AG89" s="34"/>
      <c r="AH89" s="34"/>
      <c r="AI89" s="34"/>
      <c r="AJ89" s="34"/>
      <c r="AK89" s="34"/>
      <c r="AL89" s="34"/>
      <c r="AM89" s="34"/>
      <c r="AN89" s="34"/>
      <c r="AO89" s="34"/>
      <c r="AP89" s="34"/>
      <c r="AQ89" s="34"/>
      <c r="AR89" s="106"/>
      <c r="AS89" s="106"/>
      <c r="AT89" s="106"/>
      <c r="AU89" s="71"/>
      <c r="AV89" s="34"/>
      <c r="AW89" s="34"/>
      <c r="AX89" s="34"/>
      <c r="AY89" s="34"/>
      <c r="AZ89" s="34"/>
      <c r="BA89" s="34"/>
      <c r="BB89" s="34"/>
      <c r="BC89" s="34"/>
      <c r="BD89" s="34"/>
      <c r="BE89" s="34"/>
      <c r="BF89" s="34"/>
      <c r="BG89" s="34"/>
    </row>
    <row r="90" spans="1:59">
      <c r="A90" s="34"/>
      <c r="B90" s="65"/>
      <c r="C90" s="34"/>
      <c r="D90" s="34"/>
      <c r="E90" s="34"/>
      <c r="F90" s="34"/>
      <c r="G90" s="34"/>
      <c r="H90" s="34"/>
      <c r="I90" s="67"/>
      <c r="J90" s="67"/>
      <c r="K90" s="67"/>
      <c r="L90" s="67"/>
      <c r="M90" s="67"/>
      <c r="N90" s="67"/>
      <c r="O90" s="34"/>
      <c r="P90" s="34"/>
      <c r="Q90" s="34"/>
      <c r="R90" s="34"/>
      <c r="S90" s="34"/>
      <c r="T90" s="34"/>
      <c r="U90" s="34"/>
      <c r="V90" s="34"/>
      <c r="W90" s="34"/>
      <c r="X90" s="34"/>
      <c r="Y90" s="34"/>
      <c r="Z90" s="34"/>
      <c r="AA90" s="34"/>
      <c r="AB90" s="69"/>
      <c r="AC90" s="69"/>
      <c r="AD90" s="34"/>
      <c r="AE90" s="70"/>
      <c r="AF90" s="71"/>
      <c r="AG90" s="34"/>
      <c r="AH90" s="34"/>
      <c r="AI90" s="34"/>
      <c r="AJ90" s="34"/>
      <c r="AK90" s="34"/>
      <c r="AL90" s="34"/>
      <c r="AM90" s="34"/>
      <c r="AN90" s="34"/>
      <c r="AO90" s="34"/>
      <c r="AP90" s="34"/>
      <c r="AQ90" s="34"/>
      <c r="AR90" s="106"/>
      <c r="AS90" s="106"/>
      <c r="AT90" s="106"/>
      <c r="AU90" s="71"/>
      <c r="AV90" s="34"/>
      <c r="AW90" s="34"/>
      <c r="AX90" s="34"/>
      <c r="AY90" s="34"/>
      <c r="AZ90" s="34"/>
      <c r="BA90" s="34"/>
      <c r="BB90" s="34"/>
      <c r="BC90" s="34"/>
      <c r="BD90" s="34"/>
      <c r="BE90" s="34"/>
      <c r="BF90" s="34"/>
      <c r="BG90" s="34"/>
    </row>
    <row r="91" spans="1:59">
      <c r="A91" s="34"/>
      <c r="B91" s="65"/>
      <c r="C91" s="34"/>
      <c r="D91" s="34"/>
      <c r="E91" s="34"/>
      <c r="F91" s="34"/>
      <c r="G91" s="34"/>
      <c r="H91" s="34"/>
      <c r="I91" s="67"/>
      <c r="J91" s="67"/>
      <c r="K91" s="67"/>
      <c r="L91" s="67"/>
      <c r="M91" s="67"/>
      <c r="N91" s="67"/>
      <c r="O91" s="34"/>
      <c r="P91" s="34"/>
      <c r="Q91" s="34"/>
      <c r="R91" s="34"/>
      <c r="S91" s="34"/>
      <c r="T91" s="34"/>
      <c r="U91" s="34"/>
      <c r="V91" s="34"/>
      <c r="W91" s="34"/>
      <c r="X91" s="34"/>
      <c r="Y91" s="34"/>
      <c r="Z91" s="34"/>
      <c r="AA91" s="34"/>
      <c r="AB91" s="69"/>
      <c r="AC91" s="69"/>
      <c r="AD91" s="34"/>
      <c r="AE91" s="70"/>
      <c r="AF91" s="71"/>
      <c r="AG91" s="34"/>
      <c r="AH91" s="34"/>
      <c r="AI91" s="34"/>
      <c r="AJ91" s="34"/>
      <c r="AK91" s="34"/>
      <c r="AL91" s="34"/>
      <c r="AM91" s="34"/>
      <c r="AN91" s="34"/>
      <c r="AO91" s="34"/>
      <c r="AP91" s="34"/>
      <c r="AQ91" s="34"/>
      <c r="AR91" s="106"/>
      <c r="AS91" s="106"/>
      <c r="AT91" s="106"/>
      <c r="AU91" s="71"/>
      <c r="AV91" s="34"/>
      <c r="AW91" s="34"/>
      <c r="AX91" s="34"/>
      <c r="AY91" s="34"/>
      <c r="AZ91" s="34"/>
      <c r="BA91" s="34"/>
      <c r="BB91" s="34"/>
      <c r="BC91" s="34"/>
      <c r="BD91" s="34"/>
      <c r="BE91" s="34"/>
      <c r="BF91" s="34"/>
      <c r="BG91" s="34"/>
    </row>
    <row r="92" spans="1:59">
      <c r="A92" s="34"/>
      <c r="B92" s="65"/>
      <c r="C92" s="34"/>
      <c r="D92" s="34"/>
      <c r="E92" s="34"/>
      <c r="F92" s="34"/>
      <c r="G92" s="34"/>
      <c r="H92" s="34"/>
      <c r="I92" s="67"/>
      <c r="J92" s="67"/>
      <c r="K92" s="67"/>
      <c r="L92" s="67"/>
      <c r="M92" s="67"/>
      <c r="N92" s="67"/>
      <c r="O92" s="34"/>
      <c r="P92" s="34"/>
      <c r="Q92" s="34"/>
      <c r="R92" s="34"/>
      <c r="S92" s="34"/>
      <c r="T92" s="34"/>
      <c r="U92" s="34"/>
      <c r="V92" s="34"/>
      <c r="W92" s="34"/>
      <c r="X92" s="34"/>
      <c r="Y92" s="34"/>
      <c r="Z92" s="34"/>
      <c r="AA92" s="34"/>
      <c r="AB92" s="69"/>
      <c r="AC92" s="69"/>
      <c r="AD92" s="34"/>
      <c r="AE92" s="70"/>
      <c r="AF92" s="71"/>
      <c r="AG92" s="34"/>
      <c r="AH92" s="34"/>
      <c r="AI92" s="34"/>
      <c r="AJ92" s="34"/>
      <c r="AK92" s="34"/>
      <c r="AL92" s="34"/>
      <c r="AM92" s="34"/>
      <c r="AN92" s="34"/>
      <c r="AO92" s="34"/>
      <c r="AP92" s="34"/>
      <c r="AQ92" s="34"/>
      <c r="AR92" s="106"/>
      <c r="AS92" s="106"/>
      <c r="AT92" s="106"/>
      <c r="AU92" s="71"/>
      <c r="AV92" s="34"/>
      <c r="AW92" s="34"/>
      <c r="AX92" s="34"/>
      <c r="AY92" s="34"/>
      <c r="AZ92" s="34"/>
      <c r="BA92" s="34"/>
      <c r="BB92" s="34"/>
      <c r="BC92" s="34"/>
      <c r="BD92" s="34"/>
      <c r="BE92" s="34"/>
      <c r="BF92" s="34"/>
      <c r="BG92" s="34"/>
    </row>
    <row r="93" spans="1:59">
      <c r="A93" s="34"/>
      <c r="B93" s="65"/>
      <c r="C93" s="34"/>
      <c r="D93" s="34"/>
      <c r="E93" s="34"/>
      <c r="F93" s="34"/>
      <c r="G93" s="34"/>
      <c r="H93" s="34"/>
      <c r="I93" s="67"/>
      <c r="J93" s="67"/>
      <c r="K93" s="67"/>
      <c r="L93" s="67"/>
      <c r="M93" s="67"/>
      <c r="N93" s="67"/>
      <c r="O93" s="34"/>
      <c r="P93" s="34"/>
      <c r="Q93" s="34"/>
      <c r="R93" s="34"/>
      <c r="S93" s="34"/>
      <c r="T93" s="34"/>
      <c r="U93" s="34"/>
      <c r="V93" s="34"/>
      <c r="W93" s="34"/>
      <c r="X93" s="34"/>
      <c r="Y93" s="34"/>
      <c r="Z93" s="34"/>
      <c r="AA93" s="34"/>
      <c r="AB93" s="69"/>
      <c r="AC93" s="69"/>
      <c r="AD93" s="34"/>
      <c r="AE93" s="70"/>
      <c r="AF93" s="71"/>
      <c r="AG93" s="34"/>
      <c r="AH93" s="34"/>
      <c r="AI93" s="34"/>
      <c r="AJ93" s="34"/>
      <c r="AK93" s="34"/>
      <c r="AL93" s="34"/>
      <c r="AM93" s="34"/>
      <c r="AN93" s="34"/>
      <c r="AO93" s="34"/>
      <c r="AP93" s="34"/>
      <c r="AQ93" s="34"/>
      <c r="AR93" s="106"/>
      <c r="AS93" s="106"/>
      <c r="AT93" s="106"/>
      <c r="AU93" s="71"/>
      <c r="AV93" s="34"/>
      <c r="AW93" s="34"/>
      <c r="AX93" s="34"/>
      <c r="AY93" s="34"/>
      <c r="AZ93" s="34"/>
      <c r="BA93" s="34"/>
      <c r="BB93" s="34"/>
      <c r="BC93" s="34"/>
      <c r="BD93" s="34"/>
      <c r="BE93" s="34"/>
      <c r="BF93" s="34"/>
      <c r="BG93" s="34"/>
    </row>
    <row r="94" spans="1:59">
      <c r="A94" s="34"/>
      <c r="B94" s="65"/>
      <c r="C94" s="34"/>
      <c r="D94" s="34"/>
      <c r="E94" s="34"/>
      <c r="F94" s="34"/>
      <c r="G94" s="34"/>
      <c r="H94" s="34"/>
      <c r="I94" s="67"/>
      <c r="J94" s="67"/>
      <c r="K94" s="67"/>
      <c r="L94" s="67"/>
      <c r="M94" s="67"/>
      <c r="N94" s="67"/>
      <c r="O94" s="34"/>
      <c r="P94" s="34"/>
      <c r="Q94" s="34"/>
      <c r="R94" s="34"/>
      <c r="S94" s="34"/>
      <c r="T94" s="34"/>
      <c r="U94" s="34"/>
      <c r="V94" s="34"/>
      <c r="W94" s="34"/>
      <c r="X94" s="34"/>
      <c r="Y94" s="34"/>
      <c r="Z94" s="34"/>
      <c r="AA94" s="34"/>
      <c r="AB94" s="69"/>
      <c r="AC94" s="69"/>
      <c r="AD94" s="34"/>
      <c r="AE94" s="70"/>
      <c r="AF94" s="71"/>
      <c r="AG94" s="34"/>
      <c r="AH94" s="34"/>
      <c r="AI94" s="34"/>
      <c r="AJ94" s="34"/>
      <c r="AK94" s="34"/>
      <c r="AL94" s="34"/>
      <c r="AM94" s="34"/>
      <c r="AN94" s="34"/>
      <c r="AO94" s="34"/>
      <c r="AP94" s="34"/>
      <c r="AQ94" s="34"/>
      <c r="AR94" s="106"/>
      <c r="AS94" s="106"/>
      <c r="AT94" s="106"/>
      <c r="AU94" s="71"/>
      <c r="AV94" s="34"/>
      <c r="AW94" s="34"/>
      <c r="AX94" s="34"/>
      <c r="AY94" s="34"/>
      <c r="AZ94" s="34"/>
      <c r="BA94" s="34"/>
      <c r="BB94" s="34"/>
      <c r="BC94" s="34"/>
      <c r="BD94" s="34"/>
      <c r="BE94" s="34"/>
      <c r="BF94" s="34"/>
      <c r="BG94" s="34"/>
    </row>
    <row r="95" spans="1:59">
      <c r="A95" s="34"/>
      <c r="B95" s="65"/>
      <c r="C95" s="34"/>
      <c r="D95" s="34"/>
      <c r="E95" s="34"/>
      <c r="F95" s="34"/>
      <c r="G95" s="34"/>
      <c r="H95" s="34"/>
      <c r="I95" s="67"/>
      <c r="J95" s="67"/>
      <c r="K95" s="67"/>
      <c r="L95" s="67"/>
      <c r="M95" s="67"/>
      <c r="N95" s="67"/>
      <c r="O95" s="34"/>
      <c r="P95" s="34"/>
      <c r="Q95" s="34"/>
      <c r="R95" s="34"/>
      <c r="S95" s="34"/>
      <c r="T95" s="34"/>
      <c r="U95" s="34"/>
      <c r="V95" s="34"/>
      <c r="W95" s="34"/>
      <c r="X95" s="34"/>
      <c r="Y95" s="34"/>
      <c r="Z95" s="34"/>
      <c r="AA95" s="34"/>
      <c r="AB95" s="69"/>
      <c r="AC95" s="69"/>
      <c r="AD95" s="34"/>
      <c r="AE95" s="70"/>
      <c r="AF95" s="71"/>
      <c r="AG95" s="34"/>
      <c r="AH95" s="34"/>
      <c r="AI95" s="34"/>
      <c r="AJ95" s="34"/>
      <c r="AK95" s="34"/>
      <c r="AL95" s="34"/>
      <c r="AM95" s="34"/>
      <c r="AN95" s="34"/>
      <c r="AO95" s="34"/>
      <c r="AP95" s="34"/>
      <c r="AQ95" s="34"/>
      <c r="AR95" s="106"/>
      <c r="AS95" s="106"/>
      <c r="AT95" s="106"/>
      <c r="AU95" s="71"/>
      <c r="AV95" s="34"/>
      <c r="AW95" s="34"/>
      <c r="AX95" s="34"/>
      <c r="AY95" s="34"/>
      <c r="AZ95" s="34"/>
      <c r="BA95" s="34"/>
      <c r="BB95" s="34"/>
      <c r="BC95" s="34"/>
      <c r="BD95" s="34"/>
      <c r="BE95" s="34"/>
      <c r="BF95" s="34"/>
      <c r="BG95" s="34"/>
    </row>
    <row r="96" spans="1:59">
      <c r="A96" s="34"/>
      <c r="B96" s="65"/>
      <c r="C96" s="34"/>
      <c r="D96" s="34"/>
      <c r="E96" s="34"/>
      <c r="F96" s="34"/>
      <c r="G96" s="34"/>
      <c r="H96" s="34"/>
      <c r="I96" s="67"/>
      <c r="J96" s="67"/>
      <c r="K96" s="67"/>
      <c r="L96" s="67"/>
      <c r="M96" s="67"/>
      <c r="N96" s="67"/>
      <c r="O96" s="34"/>
      <c r="P96" s="34"/>
      <c r="Q96" s="34"/>
      <c r="R96" s="34"/>
      <c r="S96" s="34"/>
      <c r="T96" s="34"/>
      <c r="U96" s="34"/>
      <c r="V96" s="34"/>
      <c r="W96" s="34"/>
      <c r="X96" s="34"/>
      <c r="Y96" s="34"/>
      <c r="Z96" s="34"/>
      <c r="AA96" s="34"/>
      <c r="AB96" s="69"/>
      <c r="AC96" s="69"/>
      <c r="AD96" s="34"/>
      <c r="AE96" s="70"/>
      <c r="AF96" s="71"/>
      <c r="AG96" s="34"/>
      <c r="AH96" s="34"/>
      <c r="AI96" s="34"/>
      <c r="AJ96" s="34"/>
      <c r="AK96" s="34"/>
      <c r="AL96" s="34"/>
      <c r="AM96" s="34"/>
      <c r="AN96" s="34"/>
      <c r="AO96" s="34"/>
      <c r="AP96" s="34"/>
      <c r="AQ96" s="34"/>
      <c r="AR96" s="106"/>
      <c r="AS96" s="106"/>
      <c r="AT96" s="106"/>
      <c r="AU96" s="71"/>
      <c r="AV96" s="34"/>
      <c r="AW96" s="34"/>
      <c r="AX96" s="34"/>
      <c r="AY96" s="34"/>
      <c r="AZ96" s="34"/>
      <c r="BA96" s="34"/>
      <c r="BB96" s="34"/>
      <c r="BC96" s="34"/>
      <c r="BD96" s="34"/>
      <c r="BE96" s="34"/>
      <c r="BF96" s="34"/>
      <c r="BG96" s="34"/>
    </row>
    <row r="97" spans="1:59">
      <c r="A97" s="34"/>
      <c r="B97" s="65"/>
      <c r="C97" s="34"/>
      <c r="D97" s="34"/>
      <c r="E97" s="34"/>
      <c r="F97" s="34"/>
      <c r="G97" s="34"/>
      <c r="H97" s="34"/>
      <c r="I97" s="67"/>
      <c r="J97" s="67"/>
      <c r="K97" s="67"/>
      <c r="L97" s="67"/>
      <c r="M97" s="67"/>
      <c r="N97" s="67"/>
      <c r="O97" s="34"/>
      <c r="P97" s="34"/>
      <c r="Q97" s="34"/>
      <c r="R97" s="34"/>
      <c r="S97" s="34"/>
      <c r="T97" s="34"/>
      <c r="U97" s="34"/>
      <c r="V97" s="34"/>
      <c r="W97" s="34"/>
      <c r="X97" s="34"/>
      <c r="Y97" s="34"/>
      <c r="Z97" s="34"/>
      <c r="AA97" s="34"/>
      <c r="AB97" s="69"/>
      <c r="AC97" s="69"/>
      <c r="AD97" s="34"/>
      <c r="AE97" s="70"/>
      <c r="AF97" s="71"/>
      <c r="AG97" s="34"/>
      <c r="AH97" s="34"/>
      <c r="AI97" s="34"/>
      <c r="AJ97" s="34"/>
      <c r="AK97" s="34"/>
      <c r="AL97" s="34"/>
      <c r="AM97" s="34"/>
      <c r="AN97" s="34"/>
      <c r="AO97" s="34"/>
      <c r="AP97" s="34"/>
      <c r="AQ97" s="34"/>
      <c r="AR97" s="106"/>
      <c r="AS97" s="106"/>
      <c r="AT97" s="106"/>
      <c r="AU97" s="71"/>
      <c r="AV97" s="34"/>
      <c r="AW97" s="34"/>
      <c r="AX97" s="34"/>
      <c r="AY97" s="34"/>
      <c r="AZ97" s="34"/>
      <c r="BA97" s="34"/>
      <c r="BB97" s="34"/>
      <c r="BC97" s="34"/>
      <c r="BD97" s="34"/>
      <c r="BE97" s="34"/>
      <c r="BF97" s="34"/>
      <c r="BG97" s="34"/>
    </row>
    <row r="98" spans="1:59">
      <c r="A98" s="34"/>
      <c r="B98" s="65"/>
      <c r="C98" s="34"/>
      <c r="D98" s="34"/>
      <c r="E98" s="34"/>
      <c r="F98" s="34"/>
      <c r="G98" s="34"/>
      <c r="H98" s="34"/>
      <c r="I98" s="67"/>
      <c r="J98" s="67"/>
      <c r="K98" s="67"/>
      <c r="L98" s="67"/>
      <c r="M98" s="67"/>
      <c r="N98" s="67"/>
      <c r="O98" s="34"/>
      <c r="P98" s="34"/>
      <c r="Q98" s="34"/>
      <c r="R98" s="34"/>
      <c r="S98" s="34"/>
      <c r="T98" s="34"/>
      <c r="U98" s="34"/>
      <c r="V98" s="34"/>
      <c r="W98" s="34"/>
      <c r="X98" s="34"/>
      <c r="Y98" s="34"/>
      <c r="Z98" s="34"/>
      <c r="AA98" s="34"/>
      <c r="AB98" s="69"/>
      <c r="AC98" s="69"/>
      <c r="AD98" s="34"/>
      <c r="AE98" s="70"/>
      <c r="AF98" s="71"/>
      <c r="AG98" s="34"/>
      <c r="AH98" s="34"/>
      <c r="AI98" s="34"/>
      <c r="AJ98" s="34"/>
      <c r="AK98" s="34"/>
      <c r="AL98" s="34"/>
      <c r="AM98" s="34"/>
      <c r="AN98" s="34"/>
      <c r="AO98" s="34"/>
      <c r="AP98" s="34"/>
      <c r="AQ98" s="34"/>
      <c r="AR98" s="106"/>
      <c r="AS98" s="106"/>
      <c r="AT98" s="106"/>
      <c r="AU98" s="71"/>
      <c r="AV98" s="34"/>
      <c r="AW98" s="34"/>
      <c r="AX98" s="34"/>
      <c r="AY98" s="34"/>
      <c r="AZ98" s="34"/>
      <c r="BA98" s="34"/>
      <c r="BB98" s="34"/>
      <c r="BC98" s="34"/>
      <c r="BD98" s="34"/>
      <c r="BE98" s="34"/>
      <c r="BF98" s="34"/>
      <c r="BG98" s="34"/>
    </row>
    <row r="99" spans="1:59">
      <c r="A99" s="34"/>
      <c r="B99" s="65"/>
      <c r="C99" s="34"/>
      <c r="D99" s="34"/>
      <c r="E99" s="34"/>
      <c r="F99" s="34"/>
      <c r="G99" s="34"/>
      <c r="H99" s="34"/>
      <c r="I99" s="67"/>
      <c r="J99" s="67"/>
      <c r="K99" s="67"/>
      <c r="L99" s="67"/>
      <c r="M99" s="67"/>
      <c r="N99" s="67"/>
      <c r="O99" s="34"/>
      <c r="P99" s="34"/>
      <c r="Q99" s="34"/>
      <c r="R99" s="34"/>
      <c r="S99" s="34"/>
      <c r="T99" s="34"/>
      <c r="U99" s="34"/>
      <c r="V99" s="34"/>
      <c r="W99" s="34"/>
      <c r="X99" s="34"/>
      <c r="Y99" s="34"/>
      <c r="Z99" s="34"/>
      <c r="AA99" s="34"/>
      <c r="AB99" s="69"/>
      <c r="AC99" s="69"/>
      <c r="AD99" s="34"/>
      <c r="AE99" s="70"/>
      <c r="AF99" s="71"/>
      <c r="AG99" s="34"/>
      <c r="AH99" s="34"/>
      <c r="AI99" s="34"/>
      <c r="AJ99" s="34"/>
      <c r="AK99" s="34"/>
      <c r="AL99" s="34"/>
      <c r="AM99" s="34"/>
      <c r="AN99" s="34"/>
      <c r="AO99" s="34"/>
      <c r="AP99" s="34"/>
      <c r="AQ99" s="34"/>
      <c r="AR99" s="106"/>
      <c r="AS99" s="106"/>
      <c r="AT99" s="106"/>
      <c r="AU99" s="71"/>
      <c r="AV99" s="34"/>
      <c r="AW99" s="34"/>
      <c r="AX99" s="34"/>
      <c r="AY99" s="34"/>
      <c r="AZ99" s="34"/>
      <c r="BA99" s="34"/>
      <c r="BB99" s="34"/>
      <c r="BC99" s="34"/>
      <c r="BD99" s="34"/>
      <c r="BE99" s="34"/>
      <c r="BF99" s="34"/>
      <c r="BG99" s="34"/>
    </row>
    <row r="100" spans="1:59">
      <c r="A100" s="34"/>
      <c r="B100" s="65"/>
      <c r="C100" s="34"/>
      <c r="D100" s="34"/>
      <c r="E100" s="34"/>
      <c r="F100" s="34"/>
      <c r="G100" s="34"/>
      <c r="H100" s="34"/>
      <c r="I100" s="67"/>
      <c r="J100" s="67"/>
      <c r="K100" s="67"/>
      <c r="L100" s="67"/>
      <c r="M100" s="67"/>
      <c r="N100" s="67"/>
      <c r="O100" s="34"/>
      <c r="P100" s="34"/>
      <c r="Q100" s="34"/>
      <c r="R100" s="34"/>
      <c r="S100" s="34"/>
      <c r="T100" s="34"/>
      <c r="U100" s="34"/>
      <c r="V100" s="34"/>
      <c r="W100" s="34"/>
      <c r="X100" s="34"/>
      <c r="Y100" s="34"/>
      <c r="Z100" s="34"/>
      <c r="AA100" s="34"/>
      <c r="AB100" s="69"/>
      <c r="AC100" s="69"/>
      <c r="AD100" s="34"/>
      <c r="AE100" s="70"/>
      <c r="AF100" s="71"/>
      <c r="AG100" s="34"/>
      <c r="AH100" s="34"/>
      <c r="AI100" s="34"/>
      <c r="AJ100" s="34"/>
      <c r="AK100" s="34"/>
      <c r="AL100" s="34"/>
      <c r="AM100" s="34"/>
      <c r="AN100" s="34"/>
      <c r="AO100" s="34"/>
      <c r="AP100" s="34"/>
      <c r="AQ100" s="34"/>
      <c r="AR100" s="106"/>
      <c r="AS100" s="106"/>
      <c r="AT100" s="106"/>
      <c r="AU100" s="71"/>
      <c r="AV100" s="34"/>
      <c r="AW100" s="34"/>
      <c r="AX100" s="34"/>
      <c r="AY100" s="34"/>
      <c r="AZ100" s="34"/>
      <c r="BA100" s="34"/>
      <c r="BB100" s="34"/>
      <c r="BC100" s="34"/>
      <c r="BD100" s="34"/>
      <c r="BE100" s="34"/>
      <c r="BF100" s="34"/>
      <c r="BG100" s="34"/>
    </row>
    <row r="101" spans="1:59">
      <c r="A101" s="34"/>
      <c r="B101" s="65"/>
      <c r="C101" s="34"/>
      <c r="D101" s="34"/>
      <c r="E101" s="34"/>
      <c r="F101" s="34"/>
      <c r="G101" s="34"/>
      <c r="H101" s="34"/>
      <c r="I101" s="67"/>
      <c r="J101" s="67"/>
      <c r="K101" s="67"/>
      <c r="L101" s="67"/>
      <c r="M101" s="67"/>
      <c r="N101" s="67"/>
      <c r="O101" s="34"/>
      <c r="P101" s="34"/>
      <c r="Q101" s="34"/>
      <c r="R101" s="34"/>
      <c r="S101" s="34"/>
      <c r="T101" s="34"/>
      <c r="U101" s="34"/>
      <c r="V101" s="34"/>
      <c r="W101" s="34"/>
      <c r="X101" s="34"/>
      <c r="Y101" s="34"/>
      <c r="Z101" s="34"/>
      <c r="AA101" s="34"/>
      <c r="AB101" s="69"/>
      <c r="AC101" s="69"/>
      <c r="AD101" s="34"/>
      <c r="AE101" s="70"/>
      <c r="AF101" s="71"/>
      <c r="AG101" s="34"/>
      <c r="AH101" s="34"/>
      <c r="AI101" s="34"/>
      <c r="AJ101" s="34"/>
      <c r="AK101" s="34"/>
      <c r="AL101" s="34"/>
      <c r="AM101" s="34"/>
      <c r="AN101" s="34"/>
      <c r="AO101" s="34"/>
      <c r="AP101" s="34"/>
      <c r="AQ101" s="34"/>
      <c r="AR101" s="106"/>
      <c r="AS101" s="106"/>
      <c r="AT101" s="106"/>
      <c r="AU101" s="71"/>
      <c r="AV101" s="34"/>
      <c r="AW101" s="34"/>
      <c r="AX101" s="34"/>
      <c r="AY101" s="34"/>
      <c r="AZ101" s="34"/>
      <c r="BA101" s="34"/>
      <c r="BB101" s="34"/>
      <c r="BC101" s="34"/>
      <c r="BD101" s="34"/>
      <c r="BE101" s="34"/>
      <c r="BF101" s="34"/>
      <c r="BG101" s="34"/>
    </row>
    <row r="102" spans="1:59">
      <c r="A102" s="34"/>
      <c r="B102" s="65"/>
      <c r="C102" s="34"/>
      <c r="D102" s="34"/>
      <c r="E102" s="34"/>
      <c r="F102" s="34"/>
      <c r="G102" s="34"/>
      <c r="H102" s="34"/>
      <c r="I102" s="67"/>
      <c r="J102" s="67"/>
      <c r="K102" s="67"/>
      <c r="L102" s="67"/>
      <c r="M102" s="67"/>
      <c r="N102" s="67"/>
      <c r="O102" s="34"/>
      <c r="P102" s="34"/>
      <c r="Q102" s="34"/>
      <c r="R102" s="34"/>
      <c r="S102" s="34"/>
      <c r="T102" s="34"/>
      <c r="U102" s="34"/>
      <c r="V102" s="34"/>
      <c r="W102" s="34"/>
      <c r="X102" s="34"/>
      <c r="Y102" s="34"/>
      <c r="Z102" s="34"/>
      <c r="AA102" s="34"/>
      <c r="AB102" s="69"/>
      <c r="AC102" s="69"/>
      <c r="AD102" s="34"/>
      <c r="AE102" s="70"/>
      <c r="AF102" s="71"/>
      <c r="AG102" s="34"/>
      <c r="AH102" s="34"/>
      <c r="AI102" s="34"/>
      <c r="AJ102" s="34"/>
      <c r="AK102" s="34"/>
      <c r="AL102" s="34"/>
      <c r="AM102" s="34"/>
      <c r="AN102" s="34"/>
      <c r="AO102" s="34"/>
      <c r="AP102" s="34"/>
      <c r="AQ102" s="34"/>
      <c r="AR102" s="106"/>
      <c r="AS102" s="106"/>
      <c r="AT102" s="106"/>
      <c r="AU102" s="71"/>
      <c r="AV102" s="34"/>
      <c r="AW102" s="34"/>
      <c r="AX102" s="34"/>
      <c r="AY102" s="34"/>
      <c r="AZ102" s="34"/>
      <c r="BA102" s="34"/>
      <c r="BB102" s="34"/>
      <c r="BC102" s="34"/>
      <c r="BD102" s="34"/>
      <c r="BE102" s="34"/>
      <c r="BF102" s="34"/>
      <c r="BG102" s="34"/>
    </row>
    <row r="103" spans="1:59">
      <c r="A103" s="34"/>
      <c r="B103" s="65"/>
      <c r="C103" s="34"/>
      <c r="D103" s="34"/>
      <c r="E103" s="34"/>
      <c r="F103" s="34"/>
      <c r="G103" s="34"/>
      <c r="H103" s="34"/>
      <c r="I103" s="67"/>
      <c r="J103" s="67"/>
      <c r="K103" s="67"/>
      <c r="L103" s="67"/>
      <c r="M103" s="67"/>
      <c r="N103" s="67"/>
      <c r="O103" s="34"/>
      <c r="P103" s="34"/>
      <c r="Q103" s="34"/>
      <c r="R103" s="34"/>
      <c r="S103" s="34"/>
      <c r="T103" s="34"/>
      <c r="U103" s="34"/>
      <c r="V103" s="34"/>
      <c r="W103" s="34"/>
      <c r="X103" s="34"/>
      <c r="Y103" s="34"/>
      <c r="Z103" s="34"/>
      <c r="AA103" s="34"/>
      <c r="AB103" s="69"/>
      <c r="AC103" s="69"/>
      <c r="AD103" s="34"/>
      <c r="AE103" s="70"/>
      <c r="AF103" s="71"/>
      <c r="AG103" s="34"/>
      <c r="AH103" s="34"/>
      <c r="AI103" s="34"/>
      <c r="AJ103" s="34"/>
      <c r="AK103" s="34"/>
      <c r="AL103" s="34"/>
      <c r="AM103" s="34"/>
      <c r="AN103" s="34"/>
      <c r="AO103" s="34"/>
      <c r="AP103" s="34"/>
      <c r="AQ103" s="34"/>
      <c r="AR103" s="106"/>
      <c r="AS103" s="106"/>
      <c r="AT103" s="106"/>
      <c r="AU103" s="71"/>
      <c r="AV103" s="34"/>
      <c r="AW103" s="34"/>
      <c r="AX103" s="34"/>
      <c r="AY103" s="34"/>
      <c r="AZ103" s="34"/>
      <c r="BA103" s="34"/>
      <c r="BB103" s="34"/>
      <c r="BC103" s="34"/>
      <c r="BD103" s="34"/>
      <c r="BE103" s="34"/>
      <c r="BF103" s="34"/>
      <c r="BG103" s="34"/>
    </row>
    <row r="104" spans="1:59">
      <c r="A104" s="34"/>
      <c r="B104" s="65"/>
      <c r="C104" s="34"/>
      <c r="D104" s="34"/>
      <c r="E104" s="34"/>
      <c r="F104" s="34"/>
      <c r="G104" s="34"/>
      <c r="H104" s="34"/>
      <c r="I104" s="67"/>
      <c r="J104" s="67"/>
      <c r="K104" s="67"/>
      <c r="L104" s="67"/>
      <c r="M104" s="67"/>
      <c r="N104" s="67"/>
      <c r="O104" s="34"/>
      <c r="P104" s="34"/>
      <c r="Q104" s="34"/>
      <c r="R104" s="34"/>
      <c r="S104" s="34"/>
      <c r="T104" s="34"/>
      <c r="U104" s="34"/>
      <c r="V104" s="34"/>
      <c r="W104" s="34"/>
      <c r="X104" s="34"/>
      <c r="Y104" s="34"/>
      <c r="Z104" s="34"/>
      <c r="AA104" s="34"/>
      <c r="AB104" s="69"/>
      <c r="AC104" s="69"/>
      <c r="AD104" s="34"/>
      <c r="AE104" s="70"/>
      <c r="AF104" s="71"/>
      <c r="AG104" s="34"/>
      <c r="AH104" s="34"/>
      <c r="AI104" s="34"/>
      <c r="AJ104" s="34"/>
      <c r="AK104" s="34"/>
      <c r="AL104" s="34"/>
      <c r="AM104" s="34"/>
      <c r="AN104" s="34"/>
      <c r="AO104" s="34"/>
      <c r="AP104" s="34"/>
      <c r="AQ104" s="34"/>
      <c r="AR104" s="106"/>
      <c r="AS104" s="106"/>
      <c r="AT104" s="106"/>
      <c r="AU104" s="71"/>
      <c r="AV104" s="34"/>
      <c r="AW104" s="34"/>
      <c r="AX104" s="34"/>
      <c r="AY104" s="34"/>
      <c r="AZ104" s="34"/>
      <c r="BA104" s="34"/>
      <c r="BB104" s="34"/>
      <c r="BC104" s="34"/>
      <c r="BD104" s="34"/>
      <c r="BE104" s="34"/>
      <c r="BF104" s="34"/>
      <c r="BG104" s="34"/>
    </row>
    <row r="105" spans="1:59">
      <c r="A105" s="34"/>
      <c r="B105" s="65"/>
      <c r="C105" s="34"/>
      <c r="D105" s="34"/>
      <c r="E105" s="34"/>
      <c r="F105" s="34"/>
      <c r="G105" s="34"/>
      <c r="H105" s="34"/>
      <c r="I105" s="67"/>
      <c r="J105" s="67"/>
      <c r="K105" s="67"/>
      <c r="L105" s="67"/>
      <c r="M105" s="67"/>
      <c r="N105" s="67"/>
      <c r="O105" s="34"/>
      <c r="P105" s="34"/>
      <c r="Q105" s="34"/>
      <c r="R105" s="34"/>
      <c r="S105" s="34"/>
      <c r="T105" s="34"/>
      <c r="U105" s="34"/>
      <c r="V105" s="34"/>
      <c r="W105" s="34"/>
      <c r="X105" s="34"/>
      <c r="Y105" s="34"/>
      <c r="Z105" s="34"/>
      <c r="AA105" s="34"/>
      <c r="AB105" s="69"/>
      <c r="AC105" s="69"/>
      <c r="AD105" s="34"/>
      <c r="AE105" s="70"/>
      <c r="AF105" s="71"/>
      <c r="AG105" s="34"/>
      <c r="AH105" s="34"/>
      <c r="AI105" s="34"/>
      <c r="AJ105" s="34"/>
      <c r="AK105" s="34"/>
      <c r="AL105" s="34"/>
      <c r="AM105" s="34"/>
      <c r="AN105" s="34"/>
      <c r="AO105" s="34"/>
      <c r="AP105" s="34"/>
      <c r="AQ105" s="34"/>
      <c r="AR105" s="106"/>
      <c r="AS105" s="106"/>
      <c r="AT105" s="106"/>
      <c r="AU105" s="71"/>
      <c r="AV105" s="34"/>
      <c r="AW105" s="34"/>
      <c r="AX105" s="34"/>
      <c r="AY105" s="34"/>
      <c r="AZ105" s="34"/>
      <c r="BA105" s="34"/>
      <c r="BB105" s="34"/>
      <c r="BC105" s="34"/>
      <c r="BD105" s="34"/>
      <c r="BE105" s="34"/>
      <c r="BF105" s="34"/>
      <c r="BG105" s="34"/>
    </row>
    <row r="106" spans="1:59">
      <c r="A106" s="34"/>
      <c r="B106" s="65"/>
      <c r="C106" s="34"/>
      <c r="D106" s="34"/>
      <c r="E106" s="34"/>
      <c r="F106" s="34"/>
      <c r="G106" s="34"/>
      <c r="H106" s="34"/>
      <c r="I106" s="67"/>
      <c r="J106" s="67"/>
      <c r="K106" s="67"/>
      <c r="L106" s="67"/>
      <c r="M106" s="67"/>
      <c r="N106" s="67"/>
      <c r="O106" s="34"/>
      <c r="P106" s="34"/>
      <c r="Q106" s="34"/>
      <c r="R106" s="34"/>
      <c r="S106" s="34"/>
      <c r="T106" s="34"/>
      <c r="U106" s="34"/>
      <c r="V106" s="34"/>
      <c r="W106" s="34"/>
      <c r="X106" s="34"/>
      <c r="Y106" s="34"/>
      <c r="Z106" s="34"/>
      <c r="AA106" s="34"/>
      <c r="AB106" s="69"/>
      <c r="AC106" s="69"/>
      <c r="AD106" s="34"/>
      <c r="AE106" s="70"/>
      <c r="AF106" s="71"/>
      <c r="AG106" s="34"/>
      <c r="AH106" s="34"/>
      <c r="AI106" s="34"/>
      <c r="AJ106" s="34"/>
      <c r="AK106" s="34"/>
      <c r="AL106" s="34"/>
      <c r="AM106" s="34"/>
      <c r="AN106" s="34"/>
      <c r="AO106" s="34"/>
      <c r="AP106" s="34"/>
      <c r="AQ106" s="34"/>
      <c r="AR106" s="106"/>
      <c r="AS106" s="106"/>
      <c r="AT106" s="106"/>
      <c r="AU106" s="71"/>
      <c r="AV106" s="34"/>
      <c r="AW106" s="34"/>
      <c r="AX106" s="34"/>
      <c r="AY106" s="34"/>
      <c r="AZ106" s="34"/>
      <c r="BA106" s="34"/>
      <c r="BB106" s="34"/>
      <c r="BC106" s="34"/>
      <c r="BD106" s="34"/>
      <c r="BE106" s="34"/>
      <c r="BF106" s="34"/>
      <c r="BG106" s="34"/>
    </row>
    <row r="107" spans="1:59">
      <c r="A107" s="34"/>
      <c r="B107" s="65"/>
      <c r="C107" s="34"/>
      <c r="D107" s="34"/>
      <c r="E107" s="34"/>
      <c r="F107" s="34"/>
      <c r="G107" s="34"/>
      <c r="H107" s="34"/>
      <c r="I107" s="67"/>
      <c r="J107" s="67"/>
      <c r="K107" s="67"/>
      <c r="L107" s="67"/>
      <c r="M107" s="67"/>
      <c r="N107" s="67"/>
      <c r="O107" s="34"/>
      <c r="P107" s="34"/>
      <c r="Q107" s="34"/>
      <c r="R107" s="34"/>
      <c r="S107" s="34"/>
      <c r="T107" s="34"/>
      <c r="U107" s="34"/>
      <c r="V107" s="34"/>
      <c r="W107" s="34"/>
      <c r="X107" s="34"/>
      <c r="Y107" s="34"/>
      <c r="Z107" s="34"/>
      <c r="AA107" s="34"/>
      <c r="AB107" s="69"/>
      <c r="AC107" s="69"/>
      <c r="AD107" s="34"/>
      <c r="AE107" s="70"/>
      <c r="AF107" s="71"/>
      <c r="AG107" s="34"/>
      <c r="AH107" s="34"/>
      <c r="AI107" s="34"/>
      <c r="AJ107" s="34"/>
      <c r="AK107" s="34"/>
      <c r="AL107" s="34"/>
      <c r="AM107" s="34"/>
      <c r="AN107" s="34"/>
      <c r="AO107" s="34"/>
      <c r="AP107" s="34"/>
      <c r="AQ107" s="34"/>
      <c r="AR107" s="106"/>
      <c r="AS107" s="106"/>
      <c r="AT107" s="106"/>
      <c r="AU107" s="71"/>
      <c r="AV107" s="34"/>
      <c r="AW107" s="34"/>
      <c r="AX107" s="34"/>
      <c r="AY107" s="34"/>
      <c r="AZ107" s="34"/>
      <c r="BA107" s="34"/>
      <c r="BB107" s="34"/>
      <c r="BC107" s="34"/>
      <c r="BD107" s="34"/>
      <c r="BE107" s="34"/>
      <c r="BF107" s="34"/>
      <c r="BG107" s="34"/>
    </row>
    <row r="108" spans="1:59">
      <c r="A108" s="34"/>
      <c r="B108" s="65"/>
      <c r="C108" s="34"/>
      <c r="D108" s="34"/>
      <c r="E108" s="34"/>
      <c r="F108" s="34"/>
      <c r="G108" s="34"/>
      <c r="H108" s="34"/>
      <c r="I108" s="67"/>
      <c r="J108" s="67"/>
      <c r="K108" s="67"/>
      <c r="L108" s="67"/>
      <c r="M108" s="67"/>
      <c r="N108" s="67"/>
      <c r="O108" s="34"/>
      <c r="P108" s="34"/>
      <c r="Q108" s="34"/>
      <c r="R108" s="34"/>
      <c r="S108" s="34"/>
      <c r="T108" s="34"/>
      <c r="U108" s="34"/>
      <c r="V108" s="34"/>
      <c r="W108" s="34"/>
      <c r="X108" s="34"/>
      <c r="Y108" s="34"/>
      <c r="Z108" s="34"/>
      <c r="AA108" s="34"/>
      <c r="AB108" s="69"/>
      <c r="AC108" s="69"/>
      <c r="AD108" s="34"/>
      <c r="AE108" s="70"/>
      <c r="AF108" s="71"/>
      <c r="AG108" s="34"/>
      <c r="AH108" s="34"/>
      <c r="AI108" s="34"/>
      <c r="AJ108" s="34"/>
      <c r="AK108" s="34"/>
      <c r="AL108" s="34"/>
      <c r="AM108" s="34"/>
      <c r="AN108" s="34"/>
      <c r="AO108" s="34"/>
      <c r="AP108" s="34"/>
      <c r="AQ108" s="34"/>
      <c r="AR108" s="106"/>
      <c r="AS108" s="106"/>
      <c r="AT108" s="106"/>
      <c r="AU108" s="71"/>
      <c r="AV108" s="34"/>
      <c r="AW108" s="34"/>
      <c r="AX108" s="34"/>
      <c r="AY108" s="34"/>
      <c r="AZ108" s="34"/>
      <c r="BA108" s="34"/>
      <c r="BB108" s="34"/>
      <c r="BC108" s="34"/>
      <c r="BD108" s="34"/>
      <c r="BE108" s="34"/>
      <c r="BF108" s="34"/>
      <c r="BG108" s="34"/>
    </row>
    <row r="109" spans="1:59">
      <c r="A109" s="34"/>
      <c r="B109" s="65"/>
      <c r="C109" s="34"/>
      <c r="D109" s="34"/>
      <c r="E109" s="34"/>
      <c r="F109" s="34"/>
      <c r="G109" s="34"/>
      <c r="H109" s="34"/>
      <c r="I109" s="67"/>
      <c r="J109" s="67"/>
      <c r="K109" s="67"/>
      <c r="L109" s="67"/>
      <c r="M109" s="67"/>
      <c r="N109" s="67"/>
      <c r="O109" s="34"/>
      <c r="P109" s="34"/>
      <c r="Q109" s="34"/>
      <c r="R109" s="34"/>
      <c r="S109" s="34"/>
      <c r="T109" s="34"/>
      <c r="U109" s="34"/>
      <c r="V109" s="34"/>
      <c r="W109" s="34"/>
      <c r="X109" s="34"/>
      <c r="Y109" s="34"/>
      <c r="Z109" s="34"/>
      <c r="AA109" s="34"/>
      <c r="AB109" s="69"/>
      <c r="AC109" s="69"/>
      <c r="AD109" s="34"/>
      <c r="AE109" s="70"/>
      <c r="AF109" s="71"/>
      <c r="AG109" s="34"/>
      <c r="AH109" s="34"/>
      <c r="AI109" s="34"/>
      <c r="AJ109" s="34"/>
      <c r="AK109" s="34"/>
      <c r="AL109" s="34"/>
      <c r="AM109" s="34"/>
      <c r="AN109" s="34"/>
      <c r="AO109" s="34"/>
      <c r="AP109" s="34"/>
      <c r="AQ109" s="34"/>
      <c r="AR109" s="106"/>
      <c r="AS109" s="106"/>
      <c r="AT109" s="106"/>
      <c r="AU109" s="71"/>
      <c r="AV109" s="34"/>
      <c r="AW109" s="34"/>
      <c r="AX109" s="34"/>
      <c r="AY109" s="34"/>
      <c r="AZ109" s="34"/>
      <c r="BA109" s="34"/>
      <c r="BB109" s="34"/>
      <c r="BC109" s="34"/>
      <c r="BD109" s="34"/>
      <c r="BE109" s="34"/>
      <c r="BF109" s="34"/>
      <c r="BG109" s="34"/>
    </row>
    <row r="110" spans="1:59">
      <c r="A110" s="34"/>
      <c r="B110" s="65"/>
      <c r="C110" s="34"/>
      <c r="D110" s="34"/>
      <c r="E110" s="34"/>
      <c r="F110" s="34"/>
      <c r="G110" s="34"/>
      <c r="H110" s="34"/>
      <c r="I110" s="67"/>
      <c r="J110" s="67"/>
      <c r="K110" s="67"/>
      <c r="L110" s="67"/>
      <c r="M110" s="67"/>
      <c r="N110" s="67"/>
      <c r="O110" s="34"/>
      <c r="P110" s="34"/>
      <c r="Q110" s="34"/>
      <c r="R110" s="34"/>
      <c r="S110" s="34"/>
      <c r="T110" s="34"/>
      <c r="U110" s="34"/>
      <c r="V110" s="34"/>
      <c r="W110" s="34"/>
      <c r="X110" s="34"/>
      <c r="Y110" s="34"/>
      <c r="Z110" s="34"/>
      <c r="AA110" s="34"/>
      <c r="AB110" s="69"/>
      <c r="AC110" s="69"/>
      <c r="AD110" s="34"/>
      <c r="AE110" s="70"/>
      <c r="AF110" s="71"/>
      <c r="AG110" s="34"/>
      <c r="AH110" s="34"/>
      <c r="AI110" s="34"/>
      <c r="AJ110" s="34"/>
      <c r="AK110" s="34"/>
      <c r="AL110" s="34"/>
      <c r="AM110" s="34"/>
      <c r="AN110" s="34"/>
      <c r="AO110" s="34"/>
      <c r="AP110" s="34"/>
      <c r="AQ110" s="34"/>
      <c r="AR110" s="106"/>
      <c r="AS110" s="106"/>
      <c r="AT110" s="106"/>
      <c r="AU110" s="71"/>
      <c r="AV110" s="34"/>
      <c r="AW110" s="34"/>
      <c r="AX110" s="34"/>
      <c r="AY110" s="34"/>
      <c r="AZ110" s="34"/>
      <c r="BA110" s="34"/>
      <c r="BB110" s="34"/>
      <c r="BC110" s="34"/>
      <c r="BD110" s="34"/>
      <c r="BE110" s="34"/>
      <c r="BF110" s="34"/>
      <c r="BG110" s="34"/>
    </row>
    <row r="111" spans="1:59">
      <c r="A111" s="34"/>
      <c r="B111" s="65"/>
      <c r="C111" s="34"/>
      <c r="D111" s="34"/>
      <c r="E111" s="34"/>
      <c r="F111" s="34"/>
      <c r="G111" s="34"/>
      <c r="H111" s="34"/>
      <c r="I111" s="67"/>
      <c r="J111" s="67"/>
      <c r="K111" s="67"/>
      <c r="L111" s="67"/>
      <c r="M111" s="67"/>
      <c r="N111" s="67"/>
      <c r="O111" s="34"/>
      <c r="P111" s="34"/>
      <c r="Q111" s="34"/>
      <c r="R111" s="34"/>
      <c r="S111" s="34"/>
      <c r="T111" s="34"/>
      <c r="U111" s="34"/>
      <c r="V111" s="34"/>
      <c r="W111" s="34"/>
      <c r="X111" s="34"/>
      <c r="Y111" s="34"/>
      <c r="Z111" s="34"/>
      <c r="AA111" s="34"/>
      <c r="AB111" s="69"/>
      <c r="AC111" s="69"/>
      <c r="AD111" s="34"/>
      <c r="AE111" s="70"/>
      <c r="AF111" s="71"/>
      <c r="AG111" s="34"/>
      <c r="AH111" s="34"/>
      <c r="AI111" s="34"/>
      <c r="AJ111" s="34"/>
      <c r="AK111" s="34"/>
      <c r="AL111" s="34"/>
      <c r="AM111" s="34"/>
      <c r="AN111" s="34"/>
      <c r="AO111" s="34"/>
      <c r="AP111" s="34"/>
      <c r="AQ111" s="34"/>
      <c r="AR111" s="106"/>
      <c r="AS111" s="106"/>
      <c r="AT111" s="106"/>
      <c r="AU111" s="71"/>
      <c r="AV111" s="34"/>
      <c r="AW111" s="34"/>
      <c r="AX111" s="34"/>
      <c r="AY111" s="34"/>
      <c r="AZ111" s="34"/>
      <c r="BA111" s="34"/>
      <c r="BB111" s="34"/>
      <c r="BC111" s="34"/>
      <c r="BD111" s="34"/>
      <c r="BE111" s="34"/>
      <c r="BF111" s="34"/>
      <c r="BG111" s="34"/>
    </row>
    <row r="112" spans="1:59">
      <c r="A112" s="34"/>
      <c r="B112" s="65"/>
      <c r="C112" s="34"/>
      <c r="D112" s="34"/>
      <c r="E112" s="34"/>
      <c r="F112" s="34"/>
      <c r="G112" s="34"/>
      <c r="H112" s="34"/>
      <c r="I112" s="67"/>
      <c r="J112" s="67"/>
      <c r="K112" s="67"/>
      <c r="L112" s="67"/>
      <c r="M112" s="67"/>
      <c r="N112" s="67"/>
      <c r="O112" s="34"/>
      <c r="P112" s="34"/>
      <c r="Q112" s="34"/>
      <c r="R112" s="34"/>
      <c r="S112" s="34"/>
      <c r="T112" s="34"/>
      <c r="U112" s="34"/>
      <c r="V112" s="34"/>
      <c r="W112" s="34"/>
      <c r="X112" s="34"/>
      <c r="Y112" s="34"/>
      <c r="Z112" s="34"/>
      <c r="AA112" s="34"/>
      <c r="AB112" s="69"/>
      <c r="AC112" s="69"/>
      <c r="AD112" s="34"/>
      <c r="AE112" s="70"/>
      <c r="AF112" s="71"/>
      <c r="AG112" s="34"/>
      <c r="AH112" s="34"/>
      <c r="AI112" s="34"/>
      <c r="AJ112" s="34"/>
      <c r="AK112" s="34"/>
      <c r="AL112" s="34"/>
      <c r="AM112" s="34"/>
      <c r="AN112" s="34"/>
      <c r="AO112" s="34"/>
      <c r="AP112" s="34"/>
      <c r="AQ112" s="34"/>
      <c r="AR112" s="106"/>
      <c r="AS112" s="106"/>
      <c r="AT112" s="106"/>
      <c r="AU112" s="71"/>
      <c r="AV112" s="34"/>
      <c r="AW112" s="34"/>
      <c r="AX112" s="34"/>
      <c r="AY112" s="34"/>
      <c r="AZ112" s="34"/>
      <c r="BA112" s="34"/>
      <c r="BB112" s="34"/>
      <c r="BC112" s="34"/>
      <c r="BD112" s="34"/>
      <c r="BE112" s="34"/>
      <c r="BF112" s="34"/>
      <c r="BG112" s="34"/>
    </row>
    <row r="113" spans="1:59">
      <c r="A113" s="34"/>
      <c r="B113" s="65"/>
      <c r="C113" s="34"/>
      <c r="D113" s="34"/>
      <c r="E113" s="34"/>
      <c r="F113" s="34"/>
      <c r="G113" s="34"/>
      <c r="H113" s="34"/>
      <c r="I113" s="67"/>
      <c r="J113" s="67"/>
      <c r="K113" s="67"/>
      <c r="L113" s="67"/>
      <c r="M113" s="67"/>
      <c r="N113" s="67"/>
      <c r="O113" s="34"/>
      <c r="P113" s="34"/>
      <c r="Q113" s="34"/>
      <c r="R113" s="34"/>
      <c r="S113" s="34"/>
      <c r="T113" s="34"/>
      <c r="U113" s="34"/>
      <c r="V113" s="34"/>
      <c r="W113" s="34"/>
      <c r="X113" s="34"/>
      <c r="Y113" s="34"/>
      <c r="Z113" s="34"/>
      <c r="AA113" s="34"/>
      <c r="AB113" s="69"/>
      <c r="AC113" s="69"/>
      <c r="AD113" s="34"/>
      <c r="AE113" s="70"/>
      <c r="AF113" s="71"/>
      <c r="AG113" s="34"/>
      <c r="AH113" s="34"/>
      <c r="AI113" s="34"/>
      <c r="AJ113" s="34"/>
      <c r="AK113" s="34"/>
      <c r="AL113" s="34"/>
      <c r="AM113" s="34"/>
      <c r="AN113" s="34"/>
      <c r="AO113" s="34"/>
      <c r="AP113" s="34"/>
      <c r="AQ113" s="34"/>
      <c r="AR113" s="106"/>
      <c r="AS113" s="106"/>
      <c r="AT113" s="106"/>
      <c r="AU113" s="71"/>
      <c r="AV113" s="34"/>
      <c r="AW113" s="34"/>
      <c r="AX113" s="34"/>
      <c r="AY113" s="34"/>
      <c r="AZ113" s="34"/>
      <c r="BA113" s="34"/>
      <c r="BB113" s="34"/>
      <c r="BC113" s="34"/>
      <c r="BD113" s="34"/>
      <c r="BE113" s="34"/>
      <c r="BF113" s="34"/>
      <c r="BG113" s="34"/>
    </row>
    <row r="114" spans="1:59">
      <c r="A114" s="34"/>
      <c r="B114" s="65"/>
      <c r="C114" s="34"/>
      <c r="D114" s="34"/>
      <c r="E114" s="34"/>
      <c r="F114" s="34"/>
      <c r="G114" s="34"/>
      <c r="H114" s="34"/>
      <c r="I114" s="67"/>
      <c r="J114" s="67"/>
      <c r="K114" s="67"/>
      <c r="L114" s="67"/>
      <c r="M114" s="67"/>
      <c r="N114" s="67"/>
      <c r="O114" s="34"/>
      <c r="P114" s="34"/>
      <c r="Q114" s="34"/>
      <c r="R114" s="34"/>
      <c r="S114" s="34"/>
      <c r="T114" s="34"/>
      <c r="U114" s="34"/>
      <c r="V114" s="34"/>
      <c r="W114" s="34"/>
      <c r="X114" s="34"/>
      <c r="Y114" s="34"/>
      <c r="Z114" s="34"/>
      <c r="AA114" s="34"/>
      <c r="AB114" s="69"/>
      <c r="AC114" s="69"/>
      <c r="AD114" s="34"/>
      <c r="AE114" s="70"/>
      <c r="AF114" s="71"/>
      <c r="AG114" s="34"/>
      <c r="AH114" s="34"/>
      <c r="AI114" s="34"/>
      <c r="AJ114" s="34"/>
      <c r="AK114" s="34"/>
      <c r="AL114" s="34"/>
      <c r="AM114" s="34"/>
      <c r="AN114" s="34"/>
      <c r="AO114" s="34"/>
      <c r="AP114" s="34"/>
      <c r="AQ114" s="34"/>
      <c r="AR114" s="106"/>
      <c r="AS114" s="106"/>
      <c r="AT114" s="106"/>
      <c r="AU114" s="71"/>
      <c r="AV114" s="34"/>
      <c r="AW114" s="34"/>
      <c r="AX114" s="34"/>
      <c r="AY114" s="34"/>
      <c r="AZ114" s="34"/>
      <c r="BA114" s="34"/>
      <c r="BB114" s="34"/>
      <c r="BC114" s="34"/>
      <c r="BD114" s="34"/>
      <c r="BE114" s="34"/>
      <c r="BF114" s="34"/>
      <c r="BG114" s="34"/>
    </row>
    <row r="115" spans="1:59">
      <c r="A115" s="34"/>
      <c r="B115" s="65"/>
      <c r="C115" s="34"/>
      <c r="D115" s="34"/>
      <c r="E115" s="34"/>
      <c r="F115" s="34"/>
      <c r="G115" s="34"/>
      <c r="H115" s="34"/>
      <c r="I115" s="67"/>
      <c r="J115" s="67"/>
      <c r="K115" s="67"/>
      <c r="L115" s="67"/>
      <c r="M115" s="67"/>
      <c r="N115" s="67"/>
      <c r="O115" s="34"/>
      <c r="P115" s="34"/>
      <c r="Q115" s="34"/>
      <c r="R115" s="34"/>
      <c r="S115" s="34"/>
      <c r="T115" s="34"/>
      <c r="U115" s="34"/>
      <c r="V115" s="34"/>
      <c r="W115" s="34"/>
      <c r="X115" s="34"/>
      <c r="Y115" s="34"/>
      <c r="Z115" s="34"/>
      <c r="AA115" s="34"/>
      <c r="AB115" s="69"/>
      <c r="AC115" s="69"/>
      <c r="AD115" s="34"/>
      <c r="AE115" s="70"/>
      <c r="AF115" s="71"/>
      <c r="AG115" s="34"/>
      <c r="AH115" s="34"/>
      <c r="AI115" s="34"/>
      <c r="AJ115" s="34"/>
      <c r="AK115" s="34"/>
      <c r="AL115" s="34"/>
      <c r="AM115" s="34"/>
      <c r="AN115" s="34"/>
      <c r="AO115" s="34"/>
      <c r="AP115" s="34"/>
      <c r="AQ115" s="34"/>
      <c r="AR115" s="106"/>
      <c r="AS115" s="106"/>
      <c r="AT115" s="106"/>
      <c r="AU115" s="71"/>
      <c r="AV115" s="34"/>
      <c r="AW115" s="34"/>
      <c r="AX115" s="34"/>
      <c r="AY115" s="34"/>
      <c r="AZ115" s="34"/>
      <c r="BA115" s="34"/>
      <c r="BB115" s="34"/>
      <c r="BC115" s="34"/>
      <c r="BD115" s="34"/>
      <c r="BE115" s="34"/>
      <c r="BF115" s="34"/>
      <c r="BG115" s="34"/>
    </row>
    <row r="116" spans="1:59">
      <c r="A116" s="34"/>
      <c r="B116" s="65"/>
      <c r="C116" s="34"/>
      <c r="D116" s="34"/>
      <c r="E116" s="34"/>
      <c r="F116" s="34"/>
      <c r="G116" s="34"/>
      <c r="H116" s="34"/>
      <c r="I116" s="67"/>
      <c r="J116" s="67"/>
      <c r="K116" s="67"/>
      <c r="L116" s="67"/>
      <c r="M116" s="67"/>
      <c r="N116" s="67"/>
      <c r="O116" s="34"/>
      <c r="P116" s="34"/>
      <c r="Q116" s="34"/>
      <c r="R116" s="34"/>
      <c r="S116" s="34"/>
      <c r="T116" s="34"/>
      <c r="U116" s="34"/>
      <c r="V116" s="34"/>
      <c r="W116" s="34"/>
      <c r="X116" s="34"/>
      <c r="Y116" s="34"/>
      <c r="Z116" s="34"/>
      <c r="AA116" s="34"/>
      <c r="AB116" s="69"/>
      <c r="AC116" s="69"/>
      <c r="AD116" s="34"/>
      <c r="AE116" s="70"/>
      <c r="AF116" s="71"/>
      <c r="AG116" s="34"/>
      <c r="AH116" s="34"/>
      <c r="AI116" s="34"/>
      <c r="AJ116" s="34"/>
      <c r="AK116" s="34"/>
      <c r="AL116" s="34"/>
      <c r="AM116" s="34"/>
      <c r="AN116" s="34"/>
      <c r="AO116" s="34"/>
      <c r="AP116" s="34"/>
      <c r="AQ116" s="34"/>
      <c r="AR116" s="106"/>
      <c r="AS116" s="106"/>
      <c r="AT116" s="106"/>
      <c r="AU116" s="71"/>
      <c r="AV116" s="34"/>
      <c r="AW116" s="34"/>
      <c r="AX116" s="34"/>
      <c r="AY116" s="34"/>
      <c r="AZ116" s="34"/>
      <c r="BA116" s="34"/>
      <c r="BB116" s="34"/>
      <c r="BC116" s="34"/>
      <c r="BD116" s="34"/>
      <c r="BE116" s="34"/>
      <c r="BF116" s="34"/>
      <c r="BG116" s="34"/>
    </row>
    <row r="117" spans="1:59">
      <c r="A117" s="34"/>
      <c r="B117" s="65"/>
      <c r="C117" s="34"/>
      <c r="D117" s="34"/>
      <c r="E117" s="34"/>
      <c r="F117" s="34"/>
      <c r="G117" s="34"/>
      <c r="H117" s="34"/>
      <c r="I117" s="67"/>
      <c r="J117" s="67"/>
      <c r="K117" s="67"/>
      <c r="L117" s="67"/>
      <c r="M117" s="67"/>
      <c r="N117" s="67"/>
      <c r="O117" s="34"/>
      <c r="P117" s="34"/>
      <c r="Q117" s="34"/>
      <c r="R117" s="34"/>
      <c r="S117" s="34"/>
      <c r="T117" s="34"/>
      <c r="U117" s="34"/>
      <c r="V117" s="34"/>
      <c r="W117" s="34"/>
      <c r="X117" s="34"/>
      <c r="Y117" s="34"/>
      <c r="Z117" s="34"/>
      <c r="AA117" s="34"/>
      <c r="AB117" s="69"/>
      <c r="AC117" s="69"/>
      <c r="AD117" s="34"/>
      <c r="AE117" s="70"/>
      <c r="AF117" s="71"/>
      <c r="AG117" s="34"/>
      <c r="AH117" s="34"/>
      <c r="AI117" s="34"/>
      <c r="AJ117" s="34"/>
      <c r="AK117" s="34"/>
      <c r="AL117" s="34"/>
      <c r="AM117" s="34"/>
      <c r="AN117" s="34"/>
      <c r="AO117" s="34"/>
      <c r="AP117" s="34"/>
      <c r="AQ117" s="34"/>
      <c r="AR117" s="106"/>
      <c r="AS117" s="106"/>
      <c r="AT117" s="106"/>
      <c r="AU117" s="71"/>
      <c r="AV117" s="34"/>
      <c r="AW117" s="34"/>
      <c r="AX117" s="34"/>
      <c r="AY117" s="34"/>
      <c r="AZ117" s="34"/>
      <c r="BA117" s="34"/>
      <c r="BB117" s="34"/>
      <c r="BC117" s="34"/>
      <c r="BD117" s="34"/>
      <c r="BE117" s="34"/>
      <c r="BF117" s="34"/>
      <c r="BG117" s="34"/>
    </row>
    <row r="118" spans="1:59">
      <c r="A118" s="34"/>
      <c r="B118" s="65"/>
      <c r="C118" s="34"/>
      <c r="D118" s="34"/>
      <c r="E118" s="34"/>
      <c r="F118" s="34"/>
      <c r="G118" s="34"/>
      <c r="H118" s="34"/>
      <c r="I118" s="67"/>
      <c r="J118" s="67"/>
      <c r="K118" s="67"/>
      <c r="L118" s="67"/>
      <c r="M118" s="67"/>
      <c r="N118" s="67"/>
      <c r="O118" s="34"/>
      <c r="P118" s="34"/>
      <c r="Q118" s="34"/>
      <c r="R118" s="34"/>
      <c r="S118" s="34"/>
      <c r="T118" s="34"/>
      <c r="U118" s="34"/>
      <c r="V118" s="34"/>
      <c r="W118" s="34"/>
      <c r="X118" s="34"/>
      <c r="Y118" s="34"/>
      <c r="Z118" s="34"/>
      <c r="AA118" s="34"/>
      <c r="AB118" s="69"/>
      <c r="AC118" s="69"/>
      <c r="AD118" s="34"/>
      <c r="AE118" s="70"/>
      <c r="AF118" s="71"/>
      <c r="AG118" s="34"/>
      <c r="AH118" s="34"/>
      <c r="AI118" s="34"/>
      <c r="AJ118" s="34"/>
      <c r="AK118" s="34"/>
      <c r="AL118" s="34"/>
      <c r="AM118" s="34"/>
      <c r="AN118" s="34"/>
      <c r="AO118" s="34"/>
      <c r="AP118" s="34"/>
      <c r="AQ118" s="34"/>
      <c r="AR118" s="106"/>
      <c r="AS118" s="106"/>
      <c r="AT118" s="106"/>
      <c r="AU118" s="71"/>
      <c r="AV118" s="34"/>
      <c r="AW118" s="34"/>
      <c r="AX118" s="34"/>
      <c r="AY118" s="34"/>
      <c r="AZ118" s="34"/>
      <c r="BA118" s="34"/>
      <c r="BB118" s="34"/>
      <c r="BC118" s="34"/>
      <c r="BD118" s="34"/>
      <c r="BE118" s="34"/>
      <c r="BF118" s="34"/>
      <c r="BG118" s="34"/>
    </row>
    <row r="119" spans="1:59">
      <c r="A119" s="34"/>
      <c r="B119" s="65"/>
      <c r="C119" s="34"/>
      <c r="D119" s="34"/>
      <c r="E119" s="34"/>
      <c r="F119" s="34"/>
      <c r="G119" s="34"/>
      <c r="H119" s="34"/>
      <c r="I119" s="67"/>
      <c r="J119" s="67"/>
      <c r="K119" s="67"/>
      <c r="L119" s="67"/>
      <c r="M119" s="67"/>
      <c r="N119" s="67"/>
      <c r="O119" s="34"/>
      <c r="P119" s="34"/>
      <c r="Q119" s="34"/>
      <c r="R119" s="34"/>
      <c r="S119" s="34"/>
      <c r="T119" s="34"/>
      <c r="U119" s="34"/>
      <c r="V119" s="34"/>
      <c r="W119" s="34"/>
      <c r="X119" s="34"/>
      <c r="Y119" s="34"/>
      <c r="Z119" s="34"/>
      <c r="AA119" s="34"/>
      <c r="AB119" s="69"/>
      <c r="AC119" s="69"/>
      <c r="AD119" s="34"/>
      <c r="AE119" s="70"/>
      <c r="AF119" s="71"/>
      <c r="AG119" s="34"/>
      <c r="AH119" s="34"/>
      <c r="AI119" s="34"/>
      <c r="AJ119" s="34"/>
      <c r="AK119" s="34"/>
      <c r="AL119" s="34"/>
      <c r="AM119" s="34"/>
      <c r="AN119" s="34"/>
      <c r="AO119" s="34"/>
      <c r="AP119" s="34"/>
      <c r="AQ119" s="34"/>
      <c r="AR119" s="106"/>
      <c r="AS119" s="106"/>
      <c r="AT119" s="106"/>
      <c r="AU119" s="71"/>
      <c r="AV119" s="34"/>
      <c r="AW119" s="34"/>
      <c r="AX119" s="34"/>
      <c r="AY119" s="34"/>
      <c r="AZ119" s="34"/>
      <c r="BA119" s="34"/>
      <c r="BB119" s="34"/>
      <c r="BC119" s="34"/>
      <c r="BD119" s="34"/>
      <c r="BE119" s="34"/>
      <c r="BF119" s="34"/>
      <c r="BG119" s="34"/>
    </row>
    <row r="120" spans="1:59">
      <c r="A120" s="34"/>
      <c r="B120" s="65"/>
      <c r="C120" s="34"/>
      <c r="D120" s="34"/>
      <c r="E120" s="34"/>
      <c r="F120" s="34"/>
      <c r="G120" s="34"/>
      <c r="H120" s="34"/>
      <c r="I120" s="67"/>
      <c r="J120" s="67"/>
      <c r="K120" s="67"/>
      <c r="L120" s="67"/>
      <c r="M120" s="67"/>
      <c r="N120" s="67"/>
      <c r="O120" s="34"/>
      <c r="P120" s="34"/>
      <c r="Q120" s="34"/>
      <c r="R120" s="34"/>
      <c r="S120" s="34"/>
      <c r="T120" s="34"/>
      <c r="U120" s="34"/>
      <c r="V120" s="34"/>
      <c r="W120" s="34"/>
      <c r="X120" s="34"/>
      <c r="Y120" s="34"/>
      <c r="Z120" s="34"/>
      <c r="AA120" s="34"/>
      <c r="AB120" s="69"/>
      <c r="AC120" s="69"/>
      <c r="AD120" s="34"/>
      <c r="AE120" s="70"/>
      <c r="AF120" s="71"/>
      <c r="AG120" s="34"/>
      <c r="AH120" s="34"/>
      <c r="AI120" s="34"/>
      <c r="AJ120" s="34"/>
      <c r="AK120" s="34"/>
      <c r="AL120" s="34"/>
      <c r="AM120" s="34"/>
      <c r="AN120" s="34"/>
      <c r="AO120" s="34"/>
      <c r="AP120" s="34"/>
      <c r="AQ120" s="34"/>
      <c r="AR120" s="106"/>
      <c r="AS120" s="106"/>
      <c r="AT120" s="106"/>
      <c r="AU120" s="71"/>
      <c r="AV120" s="34"/>
      <c r="AW120" s="34"/>
      <c r="AX120" s="34"/>
      <c r="AY120" s="34"/>
      <c r="AZ120" s="34"/>
      <c r="BA120" s="34"/>
      <c r="BB120" s="34"/>
      <c r="BC120" s="34"/>
      <c r="BD120" s="34"/>
      <c r="BE120" s="34"/>
      <c r="BF120" s="34"/>
      <c r="BG120" s="34"/>
    </row>
  </sheetData>
  <autoFilter ref="B2:AF2" xr:uid="{D8B163FD-7E71-47DF-8D10-C1AE48B94BA3}"/>
  <sortState xmlns:xlrd2="http://schemas.microsoft.com/office/spreadsheetml/2017/richdata2" ref="B3:AF78">
    <sortCondition ref="B2"/>
  </sortState>
  <conditionalFormatting sqref="AB1:AB12 AB14:AB15 AB66:AB1048576 AB17:AB57">
    <cfRule type="expression" dxfId="867" priority="2354">
      <formula>IF(OR(AND($H1="REJECTED",$AB1=""),AND($J1="REJECTED",$AB1=""),AND($L1="REJECTED",$AB1=""),AND($N1="REJECTED",$AB1="")),1,0)</formula>
    </cfRule>
  </conditionalFormatting>
  <conditionalFormatting sqref="AD1:AD12 AD14:AD15 AD17:AD57 AD66:AD1048576">
    <cfRule type="expression" dxfId="866" priority="2353">
      <formula>IF(OR(AND($H1="INHERITED",$AD1=""),AND($J1="INHERITED",$AD1=""),AND($L1="INHERITED",$AD1=""),AND($N1="INHERITED",$AD1="")),1,0)</formula>
    </cfRule>
  </conditionalFormatting>
  <conditionalFormatting sqref="H1:H4 J1:J2 L1:L2 N1:N2 P1:P2 R1:R3 T1:T2 V1:V2 X1:X2 Z1:Z2 J66:J1048576 L66:L1048576 N66:N1048576 Z20:Z1048576 X20:X1048576 P78:P1048576 R20:R1048576 T20:T1048576 V20:V1048576 L20:L57 N20:N57 H11:H1048576 J11:J57">
    <cfRule type="cellIs" dxfId="865" priority="1372" operator="equal">
      <formula>"N/A"</formula>
    </cfRule>
    <cfRule type="cellIs" dxfId="864" priority="1373" operator="equal">
      <formula>"STUDY"</formula>
    </cfRule>
    <cfRule type="cellIs" dxfId="863" priority="2370" operator="equal">
      <formula>"REJECTED"</formula>
    </cfRule>
    <cfRule type="cellIs" dxfId="862" priority="2374" operator="equal">
      <formula>"ACCEPTED"</formula>
    </cfRule>
  </conditionalFormatting>
  <conditionalFormatting sqref="G1:G4 I1:I2 K1:K2 M1:M2 O1:O2 Q1:Q3 S1:S2 U1:U2 W1:W2 Y1:Y2 K66:K1048576 M66:M1048576 W20:W1048576 Y20:Y1048576 O78:O1048576 Q20:Q1048576 S20:S1048576 U20:U1048576 K20:K57 M20:M57 G11:G1048576 I11:I1048576">
    <cfRule type="cellIs" dxfId="861" priority="2386" operator="equal">
      <formula>"2. SHOULD"</formula>
    </cfRule>
    <cfRule type="cellIs" dxfId="860" priority="2406" operator="equal">
      <formula>"3. N/A"</formula>
    </cfRule>
    <cfRule type="cellIs" dxfId="859" priority="2407" operator="equal">
      <formula>"1. MUST"</formula>
    </cfRule>
  </conditionalFormatting>
  <conditionalFormatting sqref="T3">
    <cfRule type="cellIs" dxfId="858" priority="1362" operator="equal">
      <formula>"N/A"</formula>
    </cfRule>
    <cfRule type="cellIs" dxfId="857" priority="1363" operator="equal">
      <formula>"STUDY"</formula>
    </cfRule>
    <cfRule type="cellIs" dxfId="856" priority="1364" operator="equal">
      <formula>"REJECTED"</formula>
    </cfRule>
    <cfRule type="cellIs" dxfId="855" priority="1365" operator="equal">
      <formula>"ACCEPTED"</formula>
    </cfRule>
  </conditionalFormatting>
  <conditionalFormatting sqref="S3">
    <cfRule type="cellIs" dxfId="854" priority="1366" operator="equal">
      <formula>"2. SHOULD"</formula>
    </cfRule>
    <cfRule type="cellIs" dxfId="853" priority="1367" operator="equal">
      <formula>"3. N/A"</formula>
    </cfRule>
    <cfRule type="cellIs" dxfId="852" priority="1368" operator="equal">
      <formula>"1. MUST"</formula>
    </cfRule>
  </conditionalFormatting>
  <conditionalFormatting sqref="V3">
    <cfRule type="cellIs" dxfId="851" priority="1355" operator="equal">
      <formula>"N/A"</formula>
    </cfRule>
    <cfRule type="cellIs" dxfId="850" priority="1356" operator="equal">
      <formula>"STUDY"</formula>
    </cfRule>
    <cfRule type="cellIs" dxfId="849" priority="1357" operator="equal">
      <formula>"REJECTED"</formula>
    </cfRule>
    <cfRule type="cellIs" dxfId="848" priority="1358" operator="equal">
      <formula>"ACCEPTED"</formula>
    </cfRule>
  </conditionalFormatting>
  <conditionalFormatting sqref="U3">
    <cfRule type="cellIs" dxfId="847" priority="1359" operator="equal">
      <formula>"2. SHOULD"</formula>
    </cfRule>
    <cfRule type="cellIs" dxfId="846" priority="1360" operator="equal">
      <formula>"3. N/A"</formula>
    </cfRule>
    <cfRule type="cellIs" dxfId="845" priority="1361" operator="equal">
      <formula>"1. MUST"</formula>
    </cfRule>
  </conditionalFormatting>
  <conditionalFormatting sqref="X3">
    <cfRule type="cellIs" dxfId="844" priority="1348" operator="equal">
      <formula>"N/A"</formula>
    </cfRule>
    <cfRule type="cellIs" dxfId="843" priority="1349" operator="equal">
      <formula>"STUDY"</formula>
    </cfRule>
    <cfRule type="cellIs" dxfId="842" priority="1350" operator="equal">
      <formula>"REJECTED"</formula>
    </cfRule>
    <cfRule type="cellIs" dxfId="841" priority="1351" operator="equal">
      <formula>"ACCEPTED"</formula>
    </cfRule>
  </conditionalFormatting>
  <conditionalFormatting sqref="W3">
    <cfRule type="cellIs" dxfId="840" priority="1352" operator="equal">
      <formula>"2. SHOULD"</formula>
    </cfRule>
    <cfRule type="cellIs" dxfId="839" priority="1353" operator="equal">
      <formula>"3. N/A"</formula>
    </cfRule>
    <cfRule type="cellIs" dxfId="838" priority="1354" operator="equal">
      <formula>"1. MUST"</formula>
    </cfRule>
  </conditionalFormatting>
  <conditionalFormatting sqref="Z3">
    <cfRule type="cellIs" dxfId="837" priority="1341" operator="equal">
      <formula>"N/A"</formula>
    </cfRule>
    <cfRule type="cellIs" dxfId="836" priority="1342" operator="equal">
      <formula>"STUDY"</formula>
    </cfRule>
    <cfRule type="cellIs" dxfId="835" priority="1343" operator="equal">
      <formula>"REJECTED"</formula>
    </cfRule>
    <cfRule type="cellIs" dxfId="834" priority="1344" operator="equal">
      <formula>"ACCEPTED"</formula>
    </cfRule>
  </conditionalFormatting>
  <conditionalFormatting sqref="Y3">
    <cfRule type="cellIs" dxfId="833" priority="1345" operator="equal">
      <formula>"2. SHOULD"</formula>
    </cfRule>
    <cfRule type="cellIs" dxfId="832" priority="1346" operator="equal">
      <formula>"3. N/A"</formula>
    </cfRule>
    <cfRule type="cellIs" dxfId="831" priority="1347" operator="equal">
      <formula>"1. MUST"</formula>
    </cfRule>
  </conditionalFormatting>
  <conditionalFormatting sqref="R4">
    <cfRule type="cellIs" dxfId="830" priority="1334" operator="equal">
      <formula>"N/A"</formula>
    </cfRule>
    <cfRule type="cellIs" dxfId="829" priority="1335" operator="equal">
      <formula>"STUDY"</formula>
    </cfRule>
    <cfRule type="cellIs" dxfId="828" priority="1336" operator="equal">
      <formula>"REJECTED"</formula>
    </cfRule>
    <cfRule type="cellIs" dxfId="827" priority="1337" operator="equal">
      <formula>"ACCEPTED"</formula>
    </cfRule>
  </conditionalFormatting>
  <conditionalFormatting sqref="Q4">
    <cfRule type="cellIs" dxfId="826" priority="1338" operator="equal">
      <formula>"2. SHOULD"</formula>
    </cfRule>
    <cfRule type="cellIs" dxfId="825" priority="1339" operator="equal">
      <formula>"3. N/A"</formula>
    </cfRule>
    <cfRule type="cellIs" dxfId="824" priority="1340" operator="equal">
      <formula>"1. MUST"</formula>
    </cfRule>
  </conditionalFormatting>
  <conditionalFormatting sqref="T4">
    <cfRule type="cellIs" dxfId="823" priority="1327" operator="equal">
      <formula>"N/A"</formula>
    </cfRule>
    <cfRule type="cellIs" dxfId="822" priority="1328" operator="equal">
      <formula>"STUDY"</formula>
    </cfRule>
    <cfRule type="cellIs" dxfId="821" priority="1329" operator="equal">
      <formula>"REJECTED"</formula>
    </cfRule>
    <cfRule type="cellIs" dxfId="820" priority="1330" operator="equal">
      <formula>"ACCEPTED"</formula>
    </cfRule>
  </conditionalFormatting>
  <conditionalFormatting sqref="S4">
    <cfRule type="cellIs" dxfId="819" priority="1331" operator="equal">
      <formula>"2. SHOULD"</formula>
    </cfRule>
    <cfRule type="cellIs" dxfId="818" priority="1332" operator="equal">
      <formula>"3. N/A"</formula>
    </cfRule>
    <cfRule type="cellIs" dxfId="817" priority="1333" operator="equal">
      <formula>"1. MUST"</formula>
    </cfRule>
  </conditionalFormatting>
  <conditionalFormatting sqref="V4">
    <cfRule type="cellIs" dxfId="816" priority="1320" operator="equal">
      <formula>"N/A"</formula>
    </cfRule>
    <cfRule type="cellIs" dxfId="815" priority="1321" operator="equal">
      <formula>"STUDY"</formula>
    </cfRule>
    <cfRule type="cellIs" dxfId="814" priority="1322" operator="equal">
      <formula>"REJECTED"</formula>
    </cfRule>
    <cfRule type="cellIs" dxfId="813" priority="1323" operator="equal">
      <formula>"ACCEPTED"</formula>
    </cfRule>
  </conditionalFormatting>
  <conditionalFormatting sqref="U4">
    <cfRule type="cellIs" dxfId="812" priority="1324" operator="equal">
      <formula>"2. SHOULD"</formula>
    </cfRule>
    <cfRule type="cellIs" dxfId="811" priority="1325" operator="equal">
      <formula>"3. N/A"</formula>
    </cfRule>
    <cfRule type="cellIs" dxfId="810" priority="1326" operator="equal">
      <formula>"1. MUST"</formula>
    </cfRule>
  </conditionalFormatting>
  <conditionalFormatting sqref="X4">
    <cfRule type="cellIs" dxfId="809" priority="1313" operator="equal">
      <formula>"N/A"</formula>
    </cfRule>
    <cfRule type="cellIs" dxfId="808" priority="1314" operator="equal">
      <formula>"STUDY"</formula>
    </cfRule>
    <cfRule type="cellIs" dxfId="807" priority="1315" operator="equal">
      <formula>"REJECTED"</formula>
    </cfRule>
    <cfRule type="cellIs" dxfId="806" priority="1316" operator="equal">
      <formula>"ACCEPTED"</formula>
    </cfRule>
  </conditionalFormatting>
  <conditionalFormatting sqref="W4">
    <cfRule type="cellIs" dxfId="805" priority="1317" operator="equal">
      <formula>"2. SHOULD"</formula>
    </cfRule>
    <cfRule type="cellIs" dxfId="804" priority="1318" operator="equal">
      <formula>"3. N/A"</formula>
    </cfRule>
    <cfRule type="cellIs" dxfId="803" priority="1319" operator="equal">
      <formula>"1. MUST"</formula>
    </cfRule>
  </conditionalFormatting>
  <conditionalFormatting sqref="Z4">
    <cfRule type="cellIs" dxfId="802" priority="1306" operator="equal">
      <formula>"N/A"</formula>
    </cfRule>
    <cfRule type="cellIs" dxfId="801" priority="1307" operator="equal">
      <formula>"STUDY"</formula>
    </cfRule>
    <cfRule type="cellIs" dxfId="800" priority="1308" operator="equal">
      <formula>"REJECTED"</formula>
    </cfRule>
    <cfRule type="cellIs" dxfId="799" priority="1309" operator="equal">
      <formula>"ACCEPTED"</formula>
    </cfRule>
  </conditionalFormatting>
  <conditionalFormatting sqref="Y4">
    <cfRule type="cellIs" dxfId="798" priority="1310" operator="equal">
      <formula>"2. SHOULD"</formula>
    </cfRule>
    <cfRule type="cellIs" dxfId="797" priority="1311" operator="equal">
      <formula>"3. N/A"</formula>
    </cfRule>
    <cfRule type="cellIs" dxfId="796" priority="1312" operator="equal">
      <formula>"1. MUST"</formula>
    </cfRule>
  </conditionalFormatting>
  <conditionalFormatting sqref="H5">
    <cfRule type="cellIs" dxfId="795" priority="1299" operator="equal">
      <formula>"N/A"</formula>
    </cfRule>
    <cfRule type="cellIs" dxfId="794" priority="1300" operator="equal">
      <formula>"STUDY"</formula>
    </cfRule>
    <cfRule type="cellIs" dxfId="793" priority="1301" operator="equal">
      <formula>"REJECTED"</formula>
    </cfRule>
    <cfRule type="cellIs" dxfId="792" priority="1302" operator="equal">
      <formula>"ACCEPTED"</formula>
    </cfRule>
  </conditionalFormatting>
  <conditionalFormatting sqref="G5">
    <cfRule type="cellIs" dxfId="791" priority="1303" operator="equal">
      <formula>"2. SHOULD"</formula>
    </cfRule>
    <cfRule type="cellIs" dxfId="790" priority="1304" operator="equal">
      <formula>"3. N/A"</formula>
    </cfRule>
    <cfRule type="cellIs" dxfId="789" priority="1305" operator="equal">
      <formula>"1. MUST"</formula>
    </cfRule>
  </conditionalFormatting>
  <conditionalFormatting sqref="Z14:Z19">
    <cfRule type="cellIs" dxfId="788" priority="966" operator="equal">
      <formula>"N/A"</formula>
    </cfRule>
    <cfRule type="cellIs" dxfId="787" priority="967" operator="equal">
      <formula>"STUDY"</formula>
    </cfRule>
    <cfRule type="cellIs" dxfId="786" priority="968" operator="equal">
      <formula>"REJECTED"</formula>
    </cfRule>
    <cfRule type="cellIs" dxfId="785" priority="969" operator="equal">
      <formula>"ACCEPTED"</formula>
    </cfRule>
  </conditionalFormatting>
  <conditionalFormatting sqref="T11">
    <cfRule type="cellIs" dxfId="784" priority="1029" operator="equal">
      <formula>"N/A"</formula>
    </cfRule>
    <cfRule type="cellIs" dxfId="783" priority="1030" operator="equal">
      <formula>"STUDY"</formula>
    </cfRule>
    <cfRule type="cellIs" dxfId="782" priority="1031" operator="equal">
      <formula>"REJECTED"</formula>
    </cfRule>
    <cfRule type="cellIs" dxfId="781" priority="1032" operator="equal">
      <formula>"ACCEPTED"</formula>
    </cfRule>
  </conditionalFormatting>
  <conditionalFormatting sqref="S11">
    <cfRule type="cellIs" dxfId="780" priority="1033" operator="equal">
      <formula>"2. SHOULD"</formula>
    </cfRule>
    <cfRule type="cellIs" dxfId="779" priority="1034" operator="equal">
      <formula>"3. N/A"</formula>
    </cfRule>
    <cfRule type="cellIs" dxfId="778" priority="1035" operator="equal">
      <formula>"1. MUST"</formula>
    </cfRule>
  </conditionalFormatting>
  <conditionalFormatting sqref="X14:X19">
    <cfRule type="cellIs" dxfId="777" priority="973" operator="equal">
      <formula>"N/A"</formula>
    </cfRule>
    <cfRule type="cellIs" dxfId="776" priority="974" operator="equal">
      <formula>"STUDY"</formula>
    </cfRule>
    <cfRule type="cellIs" dxfId="775" priority="975" operator="equal">
      <formula>"REJECTED"</formula>
    </cfRule>
    <cfRule type="cellIs" dxfId="774" priority="976" operator="equal">
      <formula>"ACCEPTED"</formula>
    </cfRule>
  </conditionalFormatting>
  <conditionalFormatting sqref="W14:W19">
    <cfRule type="cellIs" dxfId="773" priority="977" operator="equal">
      <formula>"2. SHOULD"</formula>
    </cfRule>
    <cfRule type="cellIs" dxfId="772" priority="978" operator="equal">
      <formula>"3. N/A"</formula>
    </cfRule>
    <cfRule type="cellIs" dxfId="771" priority="979" operator="equal">
      <formula>"1. MUST"</formula>
    </cfRule>
  </conditionalFormatting>
  <conditionalFormatting sqref="Y14:Y19">
    <cfRule type="cellIs" dxfId="770" priority="970" operator="equal">
      <formula>"2. SHOULD"</formula>
    </cfRule>
    <cfRule type="cellIs" dxfId="769" priority="971" operator="equal">
      <formula>"3. N/A"</formula>
    </cfRule>
    <cfRule type="cellIs" dxfId="768" priority="972" operator="equal">
      <formula>"1. MUST"</formula>
    </cfRule>
  </conditionalFormatting>
  <conditionalFormatting sqref="R12">
    <cfRule type="cellIs" dxfId="767" priority="952" operator="equal">
      <formula>"N/A"</formula>
    </cfRule>
    <cfRule type="cellIs" dxfId="766" priority="953" operator="equal">
      <formula>"STUDY"</formula>
    </cfRule>
    <cfRule type="cellIs" dxfId="765" priority="954" operator="equal">
      <formula>"REJECTED"</formula>
    </cfRule>
    <cfRule type="cellIs" dxfId="764" priority="955" operator="equal">
      <formula>"ACCEPTED"</formula>
    </cfRule>
  </conditionalFormatting>
  <conditionalFormatting sqref="Q12">
    <cfRule type="cellIs" dxfId="763" priority="956" operator="equal">
      <formula>"2. SHOULD"</formula>
    </cfRule>
    <cfRule type="cellIs" dxfId="762" priority="957" operator="equal">
      <formula>"3. N/A"</formula>
    </cfRule>
    <cfRule type="cellIs" dxfId="761" priority="958" operator="equal">
      <formula>"1. MUST"</formula>
    </cfRule>
  </conditionalFormatting>
  <conditionalFormatting sqref="T12">
    <cfRule type="cellIs" dxfId="760" priority="945" operator="equal">
      <formula>"N/A"</formula>
    </cfRule>
    <cfRule type="cellIs" dxfId="759" priority="946" operator="equal">
      <formula>"STUDY"</formula>
    </cfRule>
    <cfRule type="cellIs" dxfId="758" priority="947" operator="equal">
      <formula>"REJECTED"</formula>
    </cfRule>
    <cfRule type="cellIs" dxfId="757" priority="948" operator="equal">
      <formula>"ACCEPTED"</formula>
    </cfRule>
  </conditionalFormatting>
  <conditionalFormatting sqref="S12">
    <cfRule type="cellIs" dxfId="756" priority="949" operator="equal">
      <formula>"2. SHOULD"</formula>
    </cfRule>
    <cfRule type="cellIs" dxfId="755" priority="950" operator="equal">
      <formula>"3. N/A"</formula>
    </cfRule>
    <cfRule type="cellIs" dxfId="754" priority="951" operator="equal">
      <formula>"1. MUST"</formula>
    </cfRule>
  </conditionalFormatting>
  <conditionalFormatting sqref="T6">
    <cfRule type="cellIs" dxfId="753" priority="1155" operator="equal">
      <formula>"N/A"</formula>
    </cfRule>
    <cfRule type="cellIs" dxfId="752" priority="1156" operator="equal">
      <formula>"STUDY"</formula>
    </cfRule>
    <cfRule type="cellIs" dxfId="751" priority="1157" operator="equal">
      <formula>"REJECTED"</formula>
    </cfRule>
    <cfRule type="cellIs" dxfId="750" priority="1158" operator="equal">
      <formula>"ACCEPTED"</formula>
    </cfRule>
  </conditionalFormatting>
  <conditionalFormatting sqref="S6">
    <cfRule type="cellIs" dxfId="749" priority="1159" operator="equal">
      <formula>"2. SHOULD"</formula>
    </cfRule>
    <cfRule type="cellIs" dxfId="748" priority="1160" operator="equal">
      <formula>"3. N/A"</formula>
    </cfRule>
    <cfRule type="cellIs" dxfId="747" priority="1161" operator="equal">
      <formula>"1. MUST"</formula>
    </cfRule>
  </conditionalFormatting>
  <conditionalFormatting sqref="R14:R19">
    <cfRule type="cellIs" dxfId="746" priority="994" operator="equal">
      <formula>"N/A"</formula>
    </cfRule>
    <cfRule type="cellIs" dxfId="745" priority="995" operator="equal">
      <formula>"STUDY"</formula>
    </cfRule>
    <cfRule type="cellIs" dxfId="744" priority="996" operator="equal">
      <formula>"REJECTED"</formula>
    </cfRule>
    <cfRule type="cellIs" dxfId="743" priority="997" operator="equal">
      <formula>"ACCEPTED"</formula>
    </cfRule>
  </conditionalFormatting>
  <conditionalFormatting sqref="Q14:Q19">
    <cfRule type="cellIs" dxfId="742" priority="998" operator="equal">
      <formula>"2. SHOULD"</formula>
    </cfRule>
    <cfRule type="cellIs" dxfId="741" priority="999" operator="equal">
      <formula>"3. N/A"</formula>
    </cfRule>
    <cfRule type="cellIs" dxfId="740" priority="1000" operator="equal">
      <formula>"1. MUST"</formula>
    </cfRule>
  </conditionalFormatting>
  <conditionalFormatting sqref="T14:T19">
    <cfRule type="cellIs" dxfId="739" priority="987" operator="equal">
      <formula>"N/A"</formula>
    </cfRule>
    <cfRule type="cellIs" dxfId="738" priority="988" operator="equal">
      <formula>"STUDY"</formula>
    </cfRule>
    <cfRule type="cellIs" dxfId="737" priority="989" operator="equal">
      <formula>"REJECTED"</formula>
    </cfRule>
    <cfRule type="cellIs" dxfId="736" priority="990" operator="equal">
      <formula>"ACCEPTED"</formula>
    </cfRule>
  </conditionalFormatting>
  <conditionalFormatting sqref="S14:S19">
    <cfRule type="cellIs" dxfId="735" priority="991" operator="equal">
      <formula>"2. SHOULD"</formula>
    </cfRule>
    <cfRule type="cellIs" dxfId="734" priority="992" operator="equal">
      <formula>"3. N/A"</formula>
    </cfRule>
    <cfRule type="cellIs" dxfId="733" priority="993" operator="equal">
      <formula>"1. MUST"</formula>
    </cfRule>
  </conditionalFormatting>
  <conditionalFormatting sqref="V14:V19">
    <cfRule type="cellIs" dxfId="732" priority="980" operator="equal">
      <formula>"N/A"</formula>
    </cfRule>
    <cfRule type="cellIs" dxfId="731" priority="981" operator="equal">
      <formula>"STUDY"</formula>
    </cfRule>
    <cfRule type="cellIs" dxfId="730" priority="982" operator="equal">
      <formula>"REJECTED"</formula>
    </cfRule>
    <cfRule type="cellIs" dxfId="729" priority="983" operator="equal">
      <formula>"ACCEPTED"</formula>
    </cfRule>
  </conditionalFormatting>
  <conditionalFormatting sqref="U14:U19">
    <cfRule type="cellIs" dxfId="728" priority="984" operator="equal">
      <formula>"2. SHOULD"</formula>
    </cfRule>
    <cfRule type="cellIs" dxfId="727" priority="985" operator="equal">
      <formula>"3. N/A"</formula>
    </cfRule>
    <cfRule type="cellIs" dxfId="726" priority="986" operator="equal">
      <formula>"1. MUST"</formula>
    </cfRule>
  </conditionalFormatting>
  <conditionalFormatting sqref="Z6">
    <cfRule type="cellIs" dxfId="725" priority="1134" operator="equal">
      <formula>"N/A"</formula>
    </cfRule>
    <cfRule type="cellIs" dxfId="724" priority="1135" operator="equal">
      <formula>"STUDY"</formula>
    </cfRule>
    <cfRule type="cellIs" dxfId="723" priority="1136" operator="equal">
      <formula>"REJECTED"</formula>
    </cfRule>
    <cfRule type="cellIs" dxfId="722" priority="1137" operator="equal">
      <formula>"ACCEPTED"</formula>
    </cfRule>
  </conditionalFormatting>
  <conditionalFormatting sqref="R6">
    <cfRule type="cellIs" dxfId="721" priority="1162" operator="equal">
      <formula>"N/A"</formula>
    </cfRule>
    <cfRule type="cellIs" dxfId="720" priority="1163" operator="equal">
      <formula>"STUDY"</formula>
    </cfRule>
    <cfRule type="cellIs" dxfId="719" priority="1164" operator="equal">
      <formula>"REJECTED"</formula>
    </cfRule>
    <cfRule type="cellIs" dxfId="718" priority="1165" operator="equal">
      <formula>"ACCEPTED"</formula>
    </cfRule>
  </conditionalFormatting>
  <conditionalFormatting sqref="Q6">
    <cfRule type="cellIs" dxfId="717" priority="1166" operator="equal">
      <formula>"2. SHOULD"</formula>
    </cfRule>
    <cfRule type="cellIs" dxfId="716" priority="1167" operator="equal">
      <formula>"3. N/A"</formula>
    </cfRule>
    <cfRule type="cellIs" dxfId="715" priority="1168" operator="equal">
      <formula>"1. MUST"</formula>
    </cfRule>
  </conditionalFormatting>
  <conditionalFormatting sqref="V6">
    <cfRule type="cellIs" dxfId="714" priority="1148" operator="equal">
      <formula>"N/A"</formula>
    </cfRule>
    <cfRule type="cellIs" dxfId="713" priority="1149" operator="equal">
      <formula>"STUDY"</formula>
    </cfRule>
    <cfRule type="cellIs" dxfId="712" priority="1150" operator="equal">
      <formula>"REJECTED"</formula>
    </cfRule>
    <cfRule type="cellIs" dxfId="711" priority="1151" operator="equal">
      <formula>"ACCEPTED"</formula>
    </cfRule>
  </conditionalFormatting>
  <conditionalFormatting sqref="U6">
    <cfRule type="cellIs" dxfId="710" priority="1152" operator="equal">
      <formula>"2. SHOULD"</formula>
    </cfRule>
    <cfRule type="cellIs" dxfId="709" priority="1153" operator="equal">
      <formula>"3. N/A"</formula>
    </cfRule>
    <cfRule type="cellIs" dxfId="708" priority="1154" operator="equal">
      <formula>"1. MUST"</formula>
    </cfRule>
  </conditionalFormatting>
  <conditionalFormatting sqref="X6">
    <cfRule type="cellIs" dxfId="707" priority="1141" operator="equal">
      <formula>"N/A"</formula>
    </cfRule>
    <cfRule type="cellIs" dxfId="706" priority="1142" operator="equal">
      <formula>"STUDY"</formula>
    </cfRule>
    <cfRule type="cellIs" dxfId="705" priority="1143" operator="equal">
      <formula>"REJECTED"</formula>
    </cfRule>
    <cfRule type="cellIs" dxfId="704" priority="1144" operator="equal">
      <formula>"ACCEPTED"</formula>
    </cfRule>
  </conditionalFormatting>
  <conditionalFormatting sqref="W6">
    <cfRule type="cellIs" dxfId="703" priority="1145" operator="equal">
      <formula>"2. SHOULD"</formula>
    </cfRule>
    <cfRule type="cellIs" dxfId="702" priority="1146" operator="equal">
      <formula>"3. N/A"</formula>
    </cfRule>
    <cfRule type="cellIs" dxfId="701" priority="1147" operator="equal">
      <formula>"1. MUST"</formula>
    </cfRule>
  </conditionalFormatting>
  <conditionalFormatting sqref="Y6">
    <cfRule type="cellIs" dxfId="700" priority="1138" operator="equal">
      <formula>"2. SHOULD"</formula>
    </cfRule>
    <cfRule type="cellIs" dxfId="699" priority="1139" operator="equal">
      <formula>"3. N/A"</formula>
    </cfRule>
    <cfRule type="cellIs" dxfId="698" priority="1140" operator="equal">
      <formula>"1. MUST"</formula>
    </cfRule>
  </conditionalFormatting>
  <conditionalFormatting sqref="Z11">
    <cfRule type="cellIs" dxfId="697" priority="1008" operator="equal">
      <formula>"N/A"</formula>
    </cfRule>
    <cfRule type="cellIs" dxfId="696" priority="1009" operator="equal">
      <formula>"STUDY"</formula>
    </cfRule>
    <cfRule type="cellIs" dxfId="695" priority="1010" operator="equal">
      <formula>"REJECTED"</formula>
    </cfRule>
    <cfRule type="cellIs" dxfId="694" priority="1011" operator="equal">
      <formula>"ACCEPTED"</formula>
    </cfRule>
  </conditionalFormatting>
  <conditionalFormatting sqref="L11 R11">
    <cfRule type="cellIs" dxfId="693" priority="1036" operator="equal">
      <formula>"N/A"</formula>
    </cfRule>
    <cfRule type="cellIs" dxfId="692" priority="1037" operator="equal">
      <formula>"STUDY"</formula>
    </cfRule>
    <cfRule type="cellIs" dxfId="691" priority="1038" operator="equal">
      <formula>"REJECTED"</formula>
    </cfRule>
    <cfRule type="cellIs" dxfId="690" priority="1039" operator="equal">
      <formula>"ACCEPTED"</formula>
    </cfRule>
  </conditionalFormatting>
  <conditionalFormatting sqref="K11 Q11">
    <cfRule type="cellIs" dxfId="689" priority="1040" operator="equal">
      <formula>"2. SHOULD"</formula>
    </cfRule>
    <cfRule type="cellIs" dxfId="688" priority="1041" operator="equal">
      <formula>"3. N/A"</formula>
    </cfRule>
    <cfRule type="cellIs" dxfId="687" priority="1042" operator="equal">
      <formula>"1. MUST"</formula>
    </cfRule>
  </conditionalFormatting>
  <conditionalFormatting sqref="V11">
    <cfRule type="cellIs" dxfId="686" priority="1022" operator="equal">
      <formula>"N/A"</formula>
    </cfRule>
    <cfRule type="cellIs" dxfId="685" priority="1023" operator="equal">
      <formula>"STUDY"</formula>
    </cfRule>
    <cfRule type="cellIs" dxfId="684" priority="1024" operator="equal">
      <formula>"REJECTED"</formula>
    </cfRule>
    <cfRule type="cellIs" dxfId="683" priority="1025" operator="equal">
      <formula>"ACCEPTED"</formula>
    </cfRule>
  </conditionalFormatting>
  <conditionalFormatting sqref="U11">
    <cfRule type="cellIs" dxfId="682" priority="1026" operator="equal">
      <formula>"2. SHOULD"</formula>
    </cfRule>
    <cfRule type="cellIs" dxfId="681" priority="1027" operator="equal">
      <formula>"3. N/A"</formula>
    </cfRule>
    <cfRule type="cellIs" dxfId="680" priority="1028" operator="equal">
      <formula>"1. MUST"</formula>
    </cfRule>
  </conditionalFormatting>
  <conditionalFormatting sqref="X11">
    <cfRule type="cellIs" dxfId="679" priority="1015" operator="equal">
      <formula>"N/A"</formula>
    </cfRule>
    <cfRule type="cellIs" dxfId="678" priority="1016" operator="equal">
      <formula>"STUDY"</formula>
    </cfRule>
    <cfRule type="cellIs" dxfId="677" priority="1017" operator="equal">
      <formula>"REJECTED"</formula>
    </cfRule>
    <cfRule type="cellIs" dxfId="676" priority="1018" operator="equal">
      <formula>"ACCEPTED"</formula>
    </cfRule>
  </conditionalFormatting>
  <conditionalFormatting sqref="W11">
    <cfRule type="cellIs" dxfId="675" priority="1019" operator="equal">
      <formula>"2. SHOULD"</formula>
    </cfRule>
    <cfRule type="cellIs" dxfId="674" priority="1020" operator="equal">
      <formula>"3. N/A"</formula>
    </cfRule>
    <cfRule type="cellIs" dxfId="673" priority="1021" operator="equal">
      <formula>"1. MUST"</formula>
    </cfRule>
  </conditionalFormatting>
  <conditionalFormatting sqref="Y11">
    <cfRule type="cellIs" dxfId="672" priority="1012" operator="equal">
      <formula>"2. SHOULD"</formula>
    </cfRule>
    <cfRule type="cellIs" dxfId="671" priority="1013" operator="equal">
      <formula>"3. N/A"</formula>
    </cfRule>
    <cfRule type="cellIs" dxfId="670" priority="1014" operator="equal">
      <formula>"1. MUST"</formula>
    </cfRule>
  </conditionalFormatting>
  <conditionalFormatting sqref="Z12">
    <cfRule type="cellIs" dxfId="669" priority="924" operator="equal">
      <formula>"N/A"</formula>
    </cfRule>
    <cfRule type="cellIs" dxfId="668" priority="925" operator="equal">
      <formula>"STUDY"</formula>
    </cfRule>
    <cfRule type="cellIs" dxfId="667" priority="926" operator="equal">
      <formula>"REJECTED"</formula>
    </cfRule>
    <cfRule type="cellIs" dxfId="666" priority="927" operator="equal">
      <formula>"ACCEPTED"</formula>
    </cfRule>
  </conditionalFormatting>
  <conditionalFormatting sqref="T13">
    <cfRule type="cellIs" dxfId="665" priority="903" operator="equal">
      <formula>"N/A"</formula>
    </cfRule>
    <cfRule type="cellIs" dxfId="664" priority="904" operator="equal">
      <formula>"STUDY"</formula>
    </cfRule>
    <cfRule type="cellIs" dxfId="663" priority="905" operator="equal">
      <formula>"REJECTED"</formula>
    </cfRule>
    <cfRule type="cellIs" dxfId="662" priority="906" operator="equal">
      <formula>"ACCEPTED"</formula>
    </cfRule>
  </conditionalFormatting>
  <conditionalFormatting sqref="S13">
    <cfRule type="cellIs" dxfId="661" priority="907" operator="equal">
      <formula>"2. SHOULD"</formula>
    </cfRule>
    <cfRule type="cellIs" dxfId="660" priority="908" operator="equal">
      <formula>"3. N/A"</formula>
    </cfRule>
    <cfRule type="cellIs" dxfId="659" priority="909" operator="equal">
      <formula>"1. MUST"</formula>
    </cfRule>
  </conditionalFormatting>
  <conditionalFormatting sqref="V12">
    <cfRule type="cellIs" dxfId="658" priority="938" operator="equal">
      <formula>"N/A"</formula>
    </cfRule>
    <cfRule type="cellIs" dxfId="657" priority="939" operator="equal">
      <formula>"STUDY"</formula>
    </cfRule>
    <cfRule type="cellIs" dxfId="656" priority="940" operator="equal">
      <formula>"REJECTED"</formula>
    </cfRule>
    <cfRule type="cellIs" dxfId="655" priority="941" operator="equal">
      <formula>"ACCEPTED"</formula>
    </cfRule>
  </conditionalFormatting>
  <conditionalFormatting sqref="U12">
    <cfRule type="cellIs" dxfId="654" priority="942" operator="equal">
      <formula>"2. SHOULD"</formula>
    </cfRule>
    <cfRule type="cellIs" dxfId="653" priority="943" operator="equal">
      <formula>"3. N/A"</formula>
    </cfRule>
    <cfRule type="cellIs" dxfId="652" priority="944" operator="equal">
      <formula>"1. MUST"</formula>
    </cfRule>
  </conditionalFormatting>
  <conditionalFormatting sqref="X12">
    <cfRule type="cellIs" dxfId="651" priority="931" operator="equal">
      <formula>"N/A"</formula>
    </cfRule>
    <cfRule type="cellIs" dxfId="650" priority="932" operator="equal">
      <formula>"STUDY"</formula>
    </cfRule>
    <cfRule type="cellIs" dxfId="649" priority="933" operator="equal">
      <formula>"REJECTED"</formula>
    </cfRule>
    <cfRule type="cellIs" dxfId="648" priority="934" operator="equal">
      <formula>"ACCEPTED"</formula>
    </cfRule>
  </conditionalFormatting>
  <conditionalFormatting sqref="W12">
    <cfRule type="cellIs" dxfId="647" priority="935" operator="equal">
      <formula>"2. SHOULD"</formula>
    </cfRule>
    <cfRule type="cellIs" dxfId="646" priority="936" operator="equal">
      <formula>"3. N/A"</formula>
    </cfRule>
    <cfRule type="cellIs" dxfId="645" priority="937" operator="equal">
      <formula>"1. MUST"</formula>
    </cfRule>
  </conditionalFormatting>
  <conditionalFormatting sqref="Y12">
    <cfRule type="cellIs" dxfId="644" priority="928" operator="equal">
      <formula>"2. SHOULD"</formula>
    </cfRule>
    <cfRule type="cellIs" dxfId="643" priority="929" operator="equal">
      <formula>"3. N/A"</formula>
    </cfRule>
    <cfRule type="cellIs" dxfId="642" priority="930" operator="equal">
      <formula>"1. MUST"</formula>
    </cfRule>
  </conditionalFormatting>
  <conditionalFormatting sqref="Z13">
    <cfRule type="cellIs" dxfId="641" priority="882" operator="equal">
      <formula>"N/A"</formula>
    </cfRule>
    <cfRule type="cellIs" dxfId="640" priority="883" operator="equal">
      <formula>"STUDY"</formula>
    </cfRule>
    <cfRule type="cellIs" dxfId="639" priority="884" operator="equal">
      <formula>"REJECTED"</formula>
    </cfRule>
    <cfRule type="cellIs" dxfId="638" priority="885" operator="equal">
      <formula>"ACCEPTED"</formula>
    </cfRule>
  </conditionalFormatting>
  <conditionalFormatting sqref="R13">
    <cfRule type="cellIs" dxfId="637" priority="910" operator="equal">
      <formula>"N/A"</formula>
    </cfRule>
    <cfRule type="cellIs" dxfId="636" priority="911" operator="equal">
      <formula>"STUDY"</formula>
    </cfRule>
    <cfRule type="cellIs" dxfId="635" priority="912" operator="equal">
      <formula>"REJECTED"</formula>
    </cfRule>
    <cfRule type="cellIs" dxfId="634" priority="913" operator="equal">
      <formula>"ACCEPTED"</formula>
    </cfRule>
  </conditionalFormatting>
  <conditionalFormatting sqref="Q13">
    <cfRule type="cellIs" dxfId="633" priority="914" operator="equal">
      <formula>"2. SHOULD"</formula>
    </cfRule>
    <cfRule type="cellIs" dxfId="632" priority="915" operator="equal">
      <formula>"3. N/A"</formula>
    </cfRule>
    <cfRule type="cellIs" dxfId="631" priority="916" operator="equal">
      <formula>"1. MUST"</formula>
    </cfRule>
  </conditionalFormatting>
  <conditionalFormatting sqref="V13">
    <cfRule type="cellIs" dxfId="630" priority="896" operator="equal">
      <formula>"N/A"</formula>
    </cfRule>
    <cfRule type="cellIs" dxfId="629" priority="897" operator="equal">
      <formula>"STUDY"</formula>
    </cfRule>
    <cfRule type="cellIs" dxfId="628" priority="898" operator="equal">
      <formula>"REJECTED"</formula>
    </cfRule>
    <cfRule type="cellIs" dxfId="627" priority="899" operator="equal">
      <formula>"ACCEPTED"</formula>
    </cfRule>
  </conditionalFormatting>
  <conditionalFormatting sqref="U13">
    <cfRule type="cellIs" dxfId="626" priority="900" operator="equal">
      <formula>"2. SHOULD"</formula>
    </cfRule>
    <cfRule type="cellIs" dxfId="625" priority="901" operator="equal">
      <formula>"3. N/A"</formula>
    </cfRule>
    <cfRule type="cellIs" dxfId="624" priority="902" operator="equal">
      <formula>"1. MUST"</formula>
    </cfRule>
  </conditionalFormatting>
  <conditionalFormatting sqref="X13">
    <cfRule type="cellIs" dxfId="623" priority="889" operator="equal">
      <formula>"N/A"</formula>
    </cfRule>
    <cfRule type="cellIs" dxfId="622" priority="890" operator="equal">
      <formula>"STUDY"</formula>
    </cfRule>
    <cfRule type="cellIs" dxfId="621" priority="891" operator="equal">
      <formula>"REJECTED"</formula>
    </cfRule>
    <cfRule type="cellIs" dxfId="620" priority="892" operator="equal">
      <formula>"ACCEPTED"</formula>
    </cfRule>
  </conditionalFormatting>
  <conditionalFormatting sqref="W13">
    <cfRule type="cellIs" dxfId="619" priority="893" operator="equal">
      <formula>"2. SHOULD"</formula>
    </cfRule>
    <cfRule type="cellIs" dxfId="618" priority="894" operator="equal">
      <formula>"3. N/A"</formula>
    </cfRule>
    <cfRule type="cellIs" dxfId="617" priority="895" operator="equal">
      <formula>"1. MUST"</formula>
    </cfRule>
  </conditionalFormatting>
  <conditionalFormatting sqref="Y13">
    <cfRule type="cellIs" dxfId="616" priority="886" operator="equal">
      <formula>"2. SHOULD"</formula>
    </cfRule>
    <cfRule type="cellIs" dxfId="615" priority="887" operator="equal">
      <formula>"3. N/A"</formula>
    </cfRule>
    <cfRule type="cellIs" dxfId="614" priority="888" operator="equal">
      <formula>"1. MUST"</formula>
    </cfRule>
  </conditionalFormatting>
  <conditionalFormatting sqref="L18:L19 L14:L16">
    <cfRule type="cellIs" dxfId="613" priority="756" operator="equal">
      <formula>"N/A"</formula>
    </cfRule>
    <cfRule type="cellIs" dxfId="612" priority="757" operator="equal">
      <formula>"STUDY"</formula>
    </cfRule>
    <cfRule type="cellIs" dxfId="611" priority="758" operator="equal">
      <formula>"REJECTED"</formula>
    </cfRule>
    <cfRule type="cellIs" dxfId="610" priority="759" operator="equal">
      <formula>"ACCEPTED"</formula>
    </cfRule>
  </conditionalFormatting>
  <conditionalFormatting sqref="K18:K19 K14:K16">
    <cfRule type="cellIs" dxfId="609" priority="760" operator="equal">
      <formula>"2. SHOULD"</formula>
    </cfRule>
    <cfRule type="cellIs" dxfId="608" priority="761" operator="equal">
      <formula>"3. N/A"</formula>
    </cfRule>
    <cfRule type="cellIs" dxfId="607" priority="762" operator="equal">
      <formula>"1. MUST"</formula>
    </cfRule>
  </conditionalFormatting>
  <conditionalFormatting sqref="J3">
    <cfRule type="cellIs" dxfId="606" priority="833" operator="equal">
      <formula>"N/A"</formula>
    </cfRule>
    <cfRule type="cellIs" dxfId="605" priority="834" operator="equal">
      <formula>"STUDY"</formula>
    </cfRule>
    <cfRule type="cellIs" dxfId="604" priority="835" operator="equal">
      <formula>"REJECTED"</formula>
    </cfRule>
    <cfRule type="cellIs" dxfId="603" priority="836" operator="equal">
      <formula>"ACCEPTED"</formula>
    </cfRule>
  </conditionalFormatting>
  <conditionalFormatting sqref="I3">
    <cfRule type="cellIs" dxfId="602" priority="837" operator="equal">
      <formula>"2. SHOULD"</formula>
    </cfRule>
    <cfRule type="cellIs" dxfId="601" priority="838" operator="equal">
      <formula>"3. N/A"</formula>
    </cfRule>
    <cfRule type="cellIs" dxfId="600" priority="839" operator="equal">
      <formula>"1. MUST"</formula>
    </cfRule>
  </conditionalFormatting>
  <conditionalFormatting sqref="L3">
    <cfRule type="cellIs" dxfId="599" priority="826" operator="equal">
      <formula>"N/A"</formula>
    </cfRule>
    <cfRule type="cellIs" dxfId="598" priority="827" operator="equal">
      <formula>"STUDY"</formula>
    </cfRule>
    <cfRule type="cellIs" dxfId="597" priority="828" operator="equal">
      <formula>"REJECTED"</formula>
    </cfRule>
    <cfRule type="cellIs" dxfId="596" priority="829" operator="equal">
      <formula>"ACCEPTED"</formula>
    </cfRule>
  </conditionalFormatting>
  <conditionalFormatting sqref="K3">
    <cfRule type="cellIs" dxfId="595" priority="830" operator="equal">
      <formula>"2. SHOULD"</formula>
    </cfRule>
    <cfRule type="cellIs" dxfId="594" priority="831" operator="equal">
      <formula>"3. N/A"</formula>
    </cfRule>
    <cfRule type="cellIs" dxfId="593" priority="832" operator="equal">
      <formula>"1. MUST"</formula>
    </cfRule>
  </conditionalFormatting>
  <conditionalFormatting sqref="J4">
    <cfRule type="cellIs" dxfId="592" priority="749" operator="equal">
      <formula>"N/A"</formula>
    </cfRule>
    <cfRule type="cellIs" dxfId="591" priority="750" operator="equal">
      <formula>"STUDY"</formula>
    </cfRule>
    <cfRule type="cellIs" dxfId="590" priority="751" operator="equal">
      <formula>"REJECTED"</formula>
    </cfRule>
    <cfRule type="cellIs" dxfId="589" priority="752" operator="equal">
      <formula>"ACCEPTED"</formula>
    </cfRule>
  </conditionalFormatting>
  <conditionalFormatting sqref="I4">
    <cfRule type="cellIs" dxfId="588" priority="753" operator="equal">
      <formula>"2. SHOULD"</formula>
    </cfRule>
    <cfRule type="cellIs" dxfId="587" priority="754" operator="equal">
      <formula>"3. N/A"</formula>
    </cfRule>
    <cfRule type="cellIs" dxfId="586" priority="755" operator="equal">
      <formula>"1. MUST"</formula>
    </cfRule>
  </conditionalFormatting>
  <conditionalFormatting sqref="L5">
    <cfRule type="cellIs" dxfId="585" priority="728" operator="equal">
      <formula>"N/A"</formula>
    </cfRule>
    <cfRule type="cellIs" dxfId="584" priority="729" operator="equal">
      <formula>"STUDY"</formula>
    </cfRule>
    <cfRule type="cellIs" dxfId="583" priority="730" operator="equal">
      <formula>"REJECTED"</formula>
    </cfRule>
    <cfRule type="cellIs" dxfId="582" priority="731" operator="equal">
      <formula>"ACCEPTED"</formula>
    </cfRule>
  </conditionalFormatting>
  <conditionalFormatting sqref="K5">
    <cfRule type="cellIs" dxfId="581" priority="732" operator="equal">
      <formula>"2. SHOULD"</formula>
    </cfRule>
    <cfRule type="cellIs" dxfId="580" priority="733" operator="equal">
      <formula>"3. N/A"</formula>
    </cfRule>
    <cfRule type="cellIs" dxfId="579" priority="734" operator="equal">
      <formula>"1. MUST"</formula>
    </cfRule>
  </conditionalFormatting>
  <conditionalFormatting sqref="L12">
    <cfRule type="cellIs" dxfId="578" priority="777" operator="equal">
      <formula>"N/A"</formula>
    </cfRule>
    <cfRule type="cellIs" dxfId="577" priority="778" operator="equal">
      <formula>"STUDY"</formula>
    </cfRule>
    <cfRule type="cellIs" dxfId="576" priority="779" operator="equal">
      <formula>"REJECTED"</formula>
    </cfRule>
    <cfRule type="cellIs" dxfId="575" priority="780" operator="equal">
      <formula>"ACCEPTED"</formula>
    </cfRule>
  </conditionalFormatting>
  <conditionalFormatting sqref="K12">
    <cfRule type="cellIs" dxfId="574" priority="781" operator="equal">
      <formula>"2. SHOULD"</formula>
    </cfRule>
    <cfRule type="cellIs" dxfId="573" priority="782" operator="equal">
      <formula>"3. N/A"</formula>
    </cfRule>
    <cfRule type="cellIs" dxfId="572" priority="783" operator="equal">
      <formula>"1. MUST"</formula>
    </cfRule>
  </conditionalFormatting>
  <conditionalFormatting sqref="L13">
    <cfRule type="cellIs" dxfId="571" priority="770" operator="equal">
      <formula>"N/A"</formula>
    </cfRule>
    <cfRule type="cellIs" dxfId="570" priority="771" operator="equal">
      <formula>"STUDY"</formula>
    </cfRule>
    <cfRule type="cellIs" dxfId="569" priority="772" operator="equal">
      <formula>"REJECTED"</formula>
    </cfRule>
    <cfRule type="cellIs" dxfId="568" priority="773" operator="equal">
      <formula>"ACCEPTED"</formula>
    </cfRule>
  </conditionalFormatting>
  <conditionalFormatting sqref="K13">
    <cfRule type="cellIs" dxfId="567" priority="774" operator="equal">
      <formula>"2. SHOULD"</formula>
    </cfRule>
    <cfRule type="cellIs" dxfId="566" priority="775" operator="equal">
      <formula>"3. N/A"</formula>
    </cfRule>
    <cfRule type="cellIs" dxfId="565" priority="776" operator="equal">
      <formula>"1. MUST"</formula>
    </cfRule>
  </conditionalFormatting>
  <conditionalFormatting sqref="L4">
    <cfRule type="cellIs" dxfId="564" priority="742" operator="equal">
      <formula>"N/A"</formula>
    </cfRule>
    <cfRule type="cellIs" dxfId="563" priority="743" operator="equal">
      <formula>"STUDY"</formula>
    </cfRule>
    <cfRule type="cellIs" dxfId="562" priority="744" operator="equal">
      <formula>"REJECTED"</formula>
    </cfRule>
    <cfRule type="cellIs" dxfId="561" priority="745" operator="equal">
      <formula>"ACCEPTED"</formula>
    </cfRule>
  </conditionalFormatting>
  <conditionalFormatting sqref="K4">
    <cfRule type="cellIs" dxfId="560" priority="746" operator="equal">
      <formula>"2. SHOULD"</formula>
    </cfRule>
    <cfRule type="cellIs" dxfId="559" priority="747" operator="equal">
      <formula>"3. N/A"</formula>
    </cfRule>
    <cfRule type="cellIs" dxfId="558" priority="748" operator="equal">
      <formula>"1. MUST"</formula>
    </cfRule>
  </conditionalFormatting>
  <conditionalFormatting sqref="J5">
    <cfRule type="cellIs" dxfId="557" priority="735" operator="equal">
      <formula>"N/A"</formula>
    </cfRule>
    <cfRule type="cellIs" dxfId="556" priority="736" operator="equal">
      <formula>"STUDY"</formula>
    </cfRule>
    <cfRule type="cellIs" dxfId="555" priority="737" operator="equal">
      <formula>"REJECTED"</formula>
    </cfRule>
    <cfRule type="cellIs" dxfId="554" priority="738" operator="equal">
      <formula>"ACCEPTED"</formula>
    </cfRule>
  </conditionalFormatting>
  <conditionalFormatting sqref="I5">
    <cfRule type="cellIs" dxfId="553" priority="739" operator="equal">
      <formula>"2. SHOULD"</formula>
    </cfRule>
    <cfRule type="cellIs" dxfId="552" priority="740" operator="equal">
      <formula>"3. N/A"</formula>
    </cfRule>
    <cfRule type="cellIs" dxfId="551" priority="741" operator="equal">
      <formula>"1. MUST"</formula>
    </cfRule>
  </conditionalFormatting>
  <conditionalFormatting sqref="H6">
    <cfRule type="cellIs" dxfId="550" priority="721" operator="equal">
      <formula>"N/A"</formula>
    </cfRule>
    <cfRule type="cellIs" dxfId="549" priority="722" operator="equal">
      <formula>"STUDY"</formula>
    </cfRule>
    <cfRule type="cellIs" dxfId="548" priority="723" operator="equal">
      <formula>"REJECTED"</formula>
    </cfRule>
    <cfRule type="cellIs" dxfId="547" priority="724" operator="equal">
      <formula>"ACCEPTED"</formula>
    </cfRule>
  </conditionalFormatting>
  <conditionalFormatting sqref="G6">
    <cfRule type="cellIs" dxfId="546" priority="725" operator="equal">
      <formula>"2. SHOULD"</formula>
    </cfRule>
    <cfRule type="cellIs" dxfId="545" priority="726" operator="equal">
      <formula>"3. N/A"</formula>
    </cfRule>
    <cfRule type="cellIs" dxfId="544" priority="727" operator="equal">
      <formula>"1. MUST"</formula>
    </cfRule>
  </conditionalFormatting>
  <conditionalFormatting sqref="J6">
    <cfRule type="cellIs" dxfId="543" priority="714" operator="equal">
      <formula>"N/A"</formula>
    </cfRule>
    <cfRule type="cellIs" dxfId="542" priority="715" operator="equal">
      <formula>"STUDY"</formula>
    </cfRule>
    <cfRule type="cellIs" dxfId="541" priority="716" operator="equal">
      <formula>"REJECTED"</formula>
    </cfRule>
    <cfRule type="cellIs" dxfId="540" priority="717" operator="equal">
      <formula>"ACCEPTED"</formula>
    </cfRule>
  </conditionalFormatting>
  <conditionalFormatting sqref="I6">
    <cfRule type="cellIs" dxfId="539" priority="718" operator="equal">
      <formula>"2. SHOULD"</formula>
    </cfRule>
    <cfRule type="cellIs" dxfId="538" priority="719" operator="equal">
      <formula>"3. N/A"</formula>
    </cfRule>
    <cfRule type="cellIs" dxfId="537" priority="720" operator="equal">
      <formula>"1. MUST"</formula>
    </cfRule>
  </conditionalFormatting>
  <conditionalFormatting sqref="L6">
    <cfRule type="cellIs" dxfId="536" priority="707" operator="equal">
      <formula>"N/A"</formula>
    </cfRule>
    <cfRule type="cellIs" dxfId="535" priority="708" operator="equal">
      <formula>"STUDY"</formula>
    </cfRule>
    <cfRule type="cellIs" dxfId="534" priority="709" operator="equal">
      <formula>"REJECTED"</formula>
    </cfRule>
    <cfRule type="cellIs" dxfId="533" priority="710" operator="equal">
      <formula>"ACCEPTED"</formula>
    </cfRule>
  </conditionalFormatting>
  <conditionalFormatting sqref="K6">
    <cfRule type="cellIs" dxfId="532" priority="711" operator="equal">
      <formula>"2. SHOULD"</formula>
    </cfRule>
    <cfRule type="cellIs" dxfId="531" priority="712" operator="equal">
      <formula>"3. N/A"</formula>
    </cfRule>
    <cfRule type="cellIs" dxfId="530" priority="713" operator="equal">
      <formula>"1. MUST"</formula>
    </cfRule>
  </conditionalFormatting>
  <conditionalFormatting sqref="H7">
    <cfRule type="cellIs" dxfId="529" priority="700" operator="equal">
      <formula>"N/A"</formula>
    </cfRule>
    <cfRule type="cellIs" dxfId="528" priority="701" operator="equal">
      <formula>"STUDY"</formula>
    </cfRule>
    <cfRule type="cellIs" dxfId="527" priority="702" operator="equal">
      <formula>"REJECTED"</formula>
    </cfRule>
    <cfRule type="cellIs" dxfId="526" priority="703" operator="equal">
      <formula>"ACCEPTED"</formula>
    </cfRule>
  </conditionalFormatting>
  <conditionalFormatting sqref="G7">
    <cfRule type="cellIs" dxfId="525" priority="704" operator="equal">
      <formula>"2. SHOULD"</formula>
    </cfRule>
    <cfRule type="cellIs" dxfId="524" priority="705" operator="equal">
      <formula>"3. N/A"</formula>
    </cfRule>
    <cfRule type="cellIs" dxfId="523" priority="706" operator="equal">
      <formula>"1. MUST"</formula>
    </cfRule>
  </conditionalFormatting>
  <conditionalFormatting sqref="J7">
    <cfRule type="cellIs" dxfId="522" priority="693" operator="equal">
      <formula>"N/A"</formula>
    </cfRule>
    <cfRule type="cellIs" dxfId="521" priority="694" operator="equal">
      <formula>"STUDY"</formula>
    </cfRule>
    <cfRule type="cellIs" dxfId="520" priority="695" operator="equal">
      <formula>"REJECTED"</formula>
    </cfRule>
    <cfRule type="cellIs" dxfId="519" priority="696" operator="equal">
      <formula>"ACCEPTED"</formula>
    </cfRule>
  </conditionalFormatting>
  <conditionalFormatting sqref="I7">
    <cfRule type="cellIs" dxfId="518" priority="697" operator="equal">
      <formula>"2. SHOULD"</formula>
    </cfRule>
    <cfRule type="cellIs" dxfId="517" priority="698" operator="equal">
      <formula>"3. N/A"</formula>
    </cfRule>
    <cfRule type="cellIs" dxfId="516" priority="699" operator="equal">
      <formula>"1. MUST"</formula>
    </cfRule>
  </conditionalFormatting>
  <conditionalFormatting sqref="L7">
    <cfRule type="cellIs" dxfId="515" priority="686" operator="equal">
      <formula>"N/A"</formula>
    </cfRule>
    <cfRule type="cellIs" dxfId="514" priority="687" operator="equal">
      <formula>"STUDY"</formula>
    </cfRule>
    <cfRule type="cellIs" dxfId="513" priority="688" operator="equal">
      <formula>"REJECTED"</formula>
    </cfRule>
    <cfRule type="cellIs" dxfId="512" priority="689" operator="equal">
      <formula>"ACCEPTED"</formula>
    </cfRule>
  </conditionalFormatting>
  <conditionalFormatting sqref="K7">
    <cfRule type="cellIs" dxfId="511" priority="690" operator="equal">
      <formula>"2. SHOULD"</formula>
    </cfRule>
    <cfRule type="cellIs" dxfId="510" priority="691" operator="equal">
      <formula>"3. N/A"</formula>
    </cfRule>
    <cfRule type="cellIs" dxfId="509" priority="692" operator="equal">
      <formula>"1. MUST"</formula>
    </cfRule>
  </conditionalFormatting>
  <conditionalFormatting sqref="H8">
    <cfRule type="cellIs" dxfId="508" priority="679" operator="equal">
      <formula>"N/A"</formula>
    </cfRule>
    <cfRule type="cellIs" dxfId="507" priority="680" operator="equal">
      <formula>"STUDY"</formula>
    </cfRule>
    <cfRule type="cellIs" dxfId="506" priority="681" operator="equal">
      <formula>"REJECTED"</formula>
    </cfRule>
    <cfRule type="cellIs" dxfId="505" priority="682" operator="equal">
      <formula>"ACCEPTED"</formula>
    </cfRule>
  </conditionalFormatting>
  <conditionalFormatting sqref="G8">
    <cfRule type="cellIs" dxfId="504" priority="683" operator="equal">
      <formula>"2. SHOULD"</formula>
    </cfRule>
    <cfRule type="cellIs" dxfId="503" priority="684" operator="equal">
      <formula>"3. N/A"</formula>
    </cfRule>
    <cfRule type="cellIs" dxfId="502" priority="685" operator="equal">
      <formula>"1. MUST"</formula>
    </cfRule>
  </conditionalFormatting>
  <conditionalFormatting sqref="J8">
    <cfRule type="cellIs" dxfId="501" priority="672" operator="equal">
      <formula>"N/A"</formula>
    </cfRule>
    <cfRule type="cellIs" dxfId="500" priority="673" operator="equal">
      <formula>"STUDY"</formula>
    </cfRule>
    <cfRule type="cellIs" dxfId="499" priority="674" operator="equal">
      <formula>"REJECTED"</formula>
    </cfRule>
    <cfRule type="cellIs" dxfId="498" priority="675" operator="equal">
      <formula>"ACCEPTED"</formula>
    </cfRule>
  </conditionalFormatting>
  <conditionalFormatting sqref="I8">
    <cfRule type="cellIs" dxfId="497" priority="676" operator="equal">
      <formula>"2. SHOULD"</formula>
    </cfRule>
    <cfRule type="cellIs" dxfId="496" priority="677" operator="equal">
      <formula>"3. N/A"</formula>
    </cfRule>
    <cfRule type="cellIs" dxfId="495" priority="678" operator="equal">
      <formula>"1. MUST"</formula>
    </cfRule>
  </conditionalFormatting>
  <conditionalFormatting sqref="L8">
    <cfRule type="cellIs" dxfId="494" priority="665" operator="equal">
      <formula>"N/A"</formula>
    </cfRule>
    <cfRule type="cellIs" dxfId="493" priority="666" operator="equal">
      <formula>"STUDY"</formula>
    </cfRule>
    <cfRule type="cellIs" dxfId="492" priority="667" operator="equal">
      <formula>"REJECTED"</formula>
    </cfRule>
    <cfRule type="cellIs" dxfId="491" priority="668" operator="equal">
      <formula>"ACCEPTED"</formula>
    </cfRule>
  </conditionalFormatting>
  <conditionalFormatting sqref="K8">
    <cfRule type="cellIs" dxfId="490" priority="669" operator="equal">
      <formula>"2. SHOULD"</formula>
    </cfRule>
    <cfRule type="cellIs" dxfId="489" priority="670" operator="equal">
      <formula>"3. N/A"</formula>
    </cfRule>
    <cfRule type="cellIs" dxfId="488" priority="671" operator="equal">
      <formula>"1. MUST"</formula>
    </cfRule>
  </conditionalFormatting>
  <conditionalFormatting sqref="H9">
    <cfRule type="cellIs" dxfId="487" priority="658" operator="equal">
      <formula>"N/A"</formula>
    </cfRule>
    <cfRule type="cellIs" dxfId="486" priority="659" operator="equal">
      <formula>"STUDY"</formula>
    </cfRule>
    <cfRule type="cellIs" dxfId="485" priority="660" operator="equal">
      <formula>"REJECTED"</formula>
    </cfRule>
    <cfRule type="cellIs" dxfId="484" priority="661" operator="equal">
      <formula>"ACCEPTED"</formula>
    </cfRule>
  </conditionalFormatting>
  <conditionalFormatting sqref="G9">
    <cfRule type="cellIs" dxfId="483" priority="662" operator="equal">
      <formula>"2. SHOULD"</formula>
    </cfRule>
    <cfRule type="cellIs" dxfId="482" priority="663" operator="equal">
      <formula>"3. N/A"</formula>
    </cfRule>
    <cfRule type="cellIs" dxfId="481" priority="664" operator="equal">
      <formula>"1. MUST"</formula>
    </cfRule>
  </conditionalFormatting>
  <conditionalFormatting sqref="J9">
    <cfRule type="cellIs" dxfId="480" priority="651" operator="equal">
      <formula>"N/A"</formula>
    </cfRule>
    <cfRule type="cellIs" dxfId="479" priority="652" operator="equal">
      <formula>"STUDY"</formula>
    </cfRule>
    <cfRule type="cellIs" dxfId="478" priority="653" operator="equal">
      <formula>"REJECTED"</formula>
    </cfRule>
    <cfRule type="cellIs" dxfId="477" priority="654" operator="equal">
      <formula>"ACCEPTED"</formula>
    </cfRule>
  </conditionalFormatting>
  <conditionalFormatting sqref="I9">
    <cfRule type="cellIs" dxfId="476" priority="655" operator="equal">
      <formula>"2. SHOULD"</formula>
    </cfRule>
    <cfRule type="cellIs" dxfId="475" priority="656" operator="equal">
      <formula>"3. N/A"</formula>
    </cfRule>
    <cfRule type="cellIs" dxfId="474" priority="657" operator="equal">
      <formula>"1. MUST"</formula>
    </cfRule>
  </conditionalFormatting>
  <conditionalFormatting sqref="L9">
    <cfRule type="cellIs" dxfId="473" priority="644" operator="equal">
      <formula>"N/A"</formula>
    </cfRule>
    <cfRule type="cellIs" dxfId="472" priority="645" operator="equal">
      <formula>"STUDY"</formula>
    </cfRule>
    <cfRule type="cellIs" dxfId="471" priority="646" operator="equal">
      <formula>"REJECTED"</formula>
    </cfRule>
    <cfRule type="cellIs" dxfId="470" priority="647" operator="equal">
      <formula>"ACCEPTED"</formula>
    </cfRule>
  </conditionalFormatting>
  <conditionalFormatting sqref="K9">
    <cfRule type="cellIs" dxfId="469" priority="648" operator="equal">
      <formula>"2. SHOULD"</formula>
    </cfRule>
    <cfRule type="cellIs" dxfId="468" priority="649" operator="equal">
      <formula>"3. N/A"</formula>
    </cfRule>
    <cfRule type="cellIs" dxfId="467" priority="650" operator="equal">
      <formula>"1. MUST"</formula>
    </cfRule>
  </conditionalFormatting>
  <conditionalFormatting sqref="H10">
    <cfRule type="cellIs" dxfId="466" priority="637" operator="equal">
      <formula>"N/A"</formula>
    </cfRule>
    <cfRule type="cellIs" dxfId="465" priority="638" operator="equal">
      <formula>"STUDY"</formula>
    </cfRule>
    <cfRule type="cellIs" dxfId="464" priority="639" operator="equal">
      <formula>"REJECTED"</formula>
    </cfRule>
    <cfRule type="cellIs" dxfId="463" priority="640" operator="equal">
      <formula>"ACCEPTED"</formula>
    </cfRule>
  </conditionalFormatting>
  <conditionalFormatting sqref="G10">
    <cfRule type="cellIs" dxfId="462" priority="641" operator="equal">
      <formula>"2. SHOULD"</formula>
    </cfRule>
    <cfRule type="cellIs" dxfId="461" priority="642" operator="equal">
      <formula>"3. N/A"</formula>
    </cfRule>
    <cfRule type="cellIs" dxfId="460" priority="643" operator="equal">
      <formula>"1. MUST"</formula>
    </cfRule>
  </conditionalFormatting>
  <conditionalFormatting sqref="J10">
    <cfRule type="cellIs" dxfId="459" priority="630" operator="equal">
      <formula>"N/A"</formula>
    </cfRule>
    <cfRule type="cellIs" dxfId="458" priority="631" operator="equal">
      <formula>"STUDY"</formula>
    </cfRule>
    <cfRule type="cellIs" dxfId="457" priority="632" operator="equal">
      <formula>"REJECTED"</formula>
    </cfRule>
    <cfRule type="cellIs" dxfId="456" priority="633" operator="equal">
      <formula>"ACCEPTED"</formula>
    </cfRule>
  </conditionalFormatting>
  <conditionalFormatting sqref="I10">
    <cfRule type="cellIs" dxfId="455" priority="634" operator="equal">
      <formula>"2. SHOULD"</formula>
    </cfRule>
    <cfRule type="cellIs" dxfId="454" priority="635" operator="equal">
      <formula>"3. N/A"</formula>
    </cfRule>
    <cfRule type="cellIs" dxfId="453" priority="636" operator="equal">
      <formula>"1. MUST"</formula>
    </cfRule>
  </conditionalFormatting>
  <conditionalFormatting sqref="L10">
    <cfRule type="cellIs" dxfId="452" priority="623" operator="equal">
      <formula>"N/A"</formula>
    </cfRule>
    <cfRule type="cellIs" dxfId="451" priority="624" operator="equal">
      <formula>"STUDY"</formula>
    </cfRule>
    <cfRule type="cellIs" dxfId="450" priority="625" operator="equal">
      <formula>"REJECTED"</formula>
    </cfRule>
    <cfRule type="cellIs" dxfId="449" priority="626" operator="equal">
      <formula>"ACCEPTED"</formula>
    </cfRule>
  </conditionalFormatting>
  <conditionalFormatting sqref="K10">
    <cfRule type="cellIs" dxfId="448" priority="627" operator="equal">
      <formula>"2. SHOULD"</formula>
    </cfRule>
    <cfRule type="cellIs" dxfId="447" priority="628" operator="equal">
      <formula>"3. N/A"</formula>
    </cfRule>
    <cfRule type="cellIs" dxfId="446" priority="629" operator="equal">
      <formula>"1. MUST"</formula>
    </cfRule>
  </conditionalFormatting>
  <conditionalFormatting sqref="R5">
    <cfRule type="cellIs" dxfId="445" priority="616" operator="equal">
      <formula>"N/A"</formula>
    </cfRule>
    <cfRule type="cellIs" dxfId="444" priority="617" operator="equal">
      <formula>"STUDY"</formula>
    </cfRule>
    <cfRule type="cellIs" dxfId="443" priority="618" operator="equal">
      <formula>"REJECTED"</formula>
    </cfRule>
    <cfRule type="cellIs" dxfId="442" priority="619" operator="equal">
      <formula>"ACCEPTED"</formula>
    </cfRule>
  </conditionalFormatting>
  <conditionalFormatting sqref="Q5">
    <cfRule type="cellIs" dxfId="441" priority="620" operator="equal">
      <formula>"2. SHOULD"</formula>
    </cfRule>
    <cfRule type="cellIs" dxfId="440" priority="621" operator="equal">
      <formula>"3. N/A"</formula>
    </cfRule>
    <cfRule type="cellIs" dxfId="439" priority="622" operator="equal">
      <formula>"1. MUST"</formula>
    </cfRule>
  </conditionalFormatting>
  <conditionalFormatting sqref="T5">
    <cfRule type="cellIs" dxfId="438" priority="609" operator="equal">
      <formula>"N/A"</formula>
    </cfRule>
    <cfRule type="cellIs" dxfId="437" priority="610" operator="equal">
      <formula>"STUDY"</formula>
    </cfRule>
    <cfRule type="cellIs" dxfId="436" priority="611" operator="equal">
      <formula>"REJECTED"</formula>
    </cfRule>
    <cfRule type="cellIs" dxfId="435" priority="612" operator="equal">
      <formula>"ACCEPTED"</formula>
    </cfRule>
  </conditionalFormatting>
  <conditionalFormatting sqref="S5">
    <cfRule type="cellIs" dxfId="434" priority="613" operator="equal">
      <formula>"2. SHOULD"</formula>
    </cfRule>
    <cfRule type="cellIs" dxfId="433" priority="614" operator="equal">
      <formula>"3. N/A"</formula>
    </cfRule>
    <cfRule type="cellIs" dxfId="432" priority="615" operator="equal">
      <formula>"1. MUST"</formula>
    </cfRule>
  </conditionalFormatting>
  <conditionalFormatting sqref="V5">
    <cfRule type="cellIs" dxfId="431" priority="602" operator="equal">
      <formula>"N/A"</formula>
    </cfRule>
    <cfRule type="cellIs" dxfId="430" priority="603" operator="equal">
      <formula>"STUDY"</formula>
    </cfRule>
    <cfRule type="cellIs" dxfId="429" priority="604" operator="equal">
      <formula>"REJECTED"</formula>
    </cfRule>
    <cfRule type="cellIs" dxfId="428" priority="605" operator="equal">
      <formula>"ACCEPTED"</formula>
    </cfRule>
  </conditionalFormatting>
  <conditionalFormatting sqref="U5">
    <cfRule type="cellIs" dxfId="427" priority="606" operator="equal">
      <formula>"2. SHOULD"</formula>
    </cfRule>
    <cfRule type="cellIs" dxfId="426" priority="607" operator="equal">
      <formula>"3. N/A"</formula>
    </cfRule>
    <cfRule type="cellIs" dxfId="425" priority="608" operator="equal">
      <formula>"1. MUST"</formula>
    </cfRule>
  </conditionalFormatting>
  <conditionalFormatting sqref="X5">
    <cfRule type="cellIs" dxfId="424" priority="595" operator="equal">
      <formula>"N/A"</formula>
    </cfRule>
    <cfRule type="cellIs" dxfId="423" priority="596" operator="equal">
      <formula>"STUDY"</formula>
    </cfRule>
    <cfRule type="cellIs" dxfId="422" priority="597" operator="equal">
      <formula>"REJECTED"</formula>
    </cfRule>
    <cfRule type="cellIs" dxfId="421" priority="598" operator="equal">
      <formula>"ACCEPTED"</formula>
    </cfRule>
  </conditionalFormatting>
  <conditionalFormatting sqref="W5">
    <cfRule type="cellIs" dxfId="420" priority="599" operator="equal">
      <formula>"2. SHOULD"</formula>
    </cfRule>
    <cfRule type="cellIs" dxfId="419" priority="600" operator="equal">
      <formula>"3. N/A"</formula>
    </cfRule>
    <cfRule type="cellIs" dxfId="418" priority="601" operator="equal">
      <formula>"1. MUST"</formula>
    </cfRule>
  </conditionalFormatting>
  <conditionalFormatting sqref="Z5">
    <cfRule type="cellIs" dxfId="417" priority="588" operator="equal">
      <formula>"N/A"</formula>
    </cfRule>
    <cfRule type="cellIs" dxfId="416" priority="589" operator="equal">
      <formula>"STUDY"</formula>
    </cfRule>
    <cfRule type="cellIs" dxfId="415" priority="590" operator="equal">
      <formula>"REJECTED"</formula>
    </cfRule>
    <cfRule type="cellIs" dxfId="414" priority="591" operator="equal">
      <formula>"ACCEPTED"</formula>
    </cfRule>
  </conditionalFormatting>
  <conditionalFormatting sqref="Y5">
    <cfRule type="cellIs" dxfId="413" priority="592" operator="equal">
      <formula>"2. SHOULD"</formula>
    </cfRule>
    <cfRule type="cellIs" dxfId="412" priority="593" operator="equal">
      <formula>"3. N/A"</formula>
    </cfRule>
    <cfRule type="cellIs" dxfId="411" priority="594" operator="equal">
      <formula>"1. MUST"</formula>
    </cfRule>
  </conditionalFormatting>
  <conditionalFormatting sqref="R7">
    <cfRule type="cellIs" dxfId="410" priority="581" operator="equal">
      <formula>"N/A"</formula>
    </cfRule>
    <cfRule type="cellIs" dxfId="409" priority="582" operator="equal">
      <formula>"STUDY"</formula>
    </cfRule>
    <cfRule type="cellIs" dxfId="408" priority="583" operator="equal">
      <formula>"REJECTED"</formula>
    </cfRule>
    <cfRule type="cellIs" dxfId="407" priority="584" operator="equal">
      <formula>"ACCEPTED"</formula>
    </cfRule>
  </conditionalFormatting>
  <conditionalFormatting sqref="Q7">
    <cfRule type="cellIs" dxfId="406" priority="585" operator="equal">
      <formula>"2. SHOULD"</formula>
    </cfRule>
    <cfRule type="cellIs" dxfId="405" priority="586" operator="equal">
      <formula>"3. N/A"</formula>
    </cfRule>
    <cfRule type="cellIs" dxfId="404" priority="587" operator="equal">
      <formula>"1. MUST"</formula>
    </cfRule>
  </conditionalFormatting>
  <conditionalFormatting sqref="T7">
    <cfRule type="cellIs" dxfId="403" priority="574" operator="equal">
      <formula>"N/A"</formula>
    </cfRule>
    <cfRule type="cellIs" dxfId="402" priority="575" operator="equal">
      <formula>"STUDY"</formula>
    </cfRule>
    <cfRule type="cellIs" dxfId="401" priority="576" operator="equal">
      <formula>"REJECTED"</formula>
    </cfRule>
    <cfRule type="cellIs" dxfId="400" priority="577" operator="equal">
      <formula>"ACCEPTED"</formula>
    </cfRule>
  </conditionalFormatting>
  <conditionalFormatting sqref="S7">
    <cfRule type="cellIs" dxfId="399" priority="578" operator="equal">
      <formula>"2. SHOULD"</formula>
    </cfRule>
    <cfRule type="cellIs" dxfId="398" priority="579" operator="equal">
      <formula>"3. N/A"</formula>
    </cfRule>
    <cfRule type="cellIs" dxfId="397" priority="580" operator="equal">
      <formula>"1. MUST"</formula>
    </cfRule>
  </conditionalFormatting>
  <conditionalFormatting sqref="V7">
    <cfRule type="cellIs" dxfId="396" priority="567" operator="equal">
      <formula>"N/A"</formula>
    </cfRule>
    <cfRule type="cellIs" dxfId="395" priority="568" operator="equal">
      <formula>"STUDY"</formula>
    </cfRule>
    <cfRule type="cellIs" dxfId="394" priority="569" operator="equal">
      <formula>"REJECTED"</formula>
    </cfRule>
    <cfRule type="cellIs" dxfId="393" priority="570" operator="equal">
      <formula>"ACCEPTED"</formula>
    </cfRule>
  </conditionalFormatting>
  <conditionalFormatting sqref="U7">
    <cfRule type="cellIs" dxfId="392" priority="571" operator="equal">
      <formula>"2. SHOULD"</formula>
    </cfRule>
    <cfRule type="cellIs" dxfId="391" priority="572" operator="equal">
      <formula>"3. N/A"</formula>
    </cfRule>
    <cfRule type="cellIs" dxfId="390" priority="573" operator="equal">
      <formula>"1. MUST"</formula>
    </cfRule>
  </conditionalFormatting>
  <conditionalFormatting sqref="X7">
    <cfRule type="cellIs" dxfId="389" priority="560" operator="equal">
      <formula>"N/A"</formula>
    </cfRule>
    <cfRule type="cellIs" dxfId="388" priority="561" operator="equal">
      <formula>"STUDY"</formula>
    </cfRule>
    <cfRule type="cellIs" dxfId="387" priority="562" operator="equal">
      <formula>"REJECTED"</formula>
    </cfRule>
    <cfRule type="cellIs" dxfId="386" priority="563" operator="equal">
      <formula>"ACCEPTED"</formula>
    </cfRule>
  </conditionalFormatting>
  <conditionalFormatting sqref="W7">
    <cfRule type="cellIs" dxfId="385" priority="564" operator="equal">
      <formula>"2. SHOULD"</formula>
    </cfRule>
    <cfRule type="cellIs" dxfId="384" priority="565" operator="equal">
      <formula>"3. N/A"</formula>
    </cfRule>
    <cfRule type="cellIs" dxfId="383" priority="566" operator="equal">
      <formula>"1. MUST"</formula>
    </cfRule>
  </conditionalFormatting>
  <conditionalFormatting sqref="Z7">
    <cfRule type="cellIs" dxfId="382" priority="553" operator="equal">
      <formula>"N/A"</formula>
    </cfRule>
    <cfRule type="cellIs" dxfId="381" priority="554" operator="equal">
      <formula>"STUDY"</formula>
    </cfRule>
    <cfRule type="cellIs" dxfId="380" priority="555" operator="equal">
      <formula>"REJECTED"</formula>
    </cfRule>
    <cfRule type="cellIs" dxfId="379" priority="556" operator="equal">
      <formula>"ACCEPTED"</formula>
    </cfRule>
  </conditionalFormatting>
  <conditionalFormatting sqref="Y7">
    <cfRule type="cellIs" dxfId="378" priority="557" operator="equal">
      <formula>"2. SHOULD"</formula>
    </cfRule>
    <cfRule type="cellIs" dxfId="377" priority="558" operator="equal">
      <formula>"3. N/A"</formula>
    </cfRule>
    <cfRule type="cellIs" dxfId="376" priority="559" operator="equal">
      <formula>"1. MUST"</formula>
    </cfRule>
  </conditionalFormatting>
  <conditionalFormatting sqref="R8">
    <cfRule type="cellIs" dxfId="375" priority="546" operator="equal">
      <formula>"N/A"</formula>
    </cfRule>
    <cfRule type="cellIs" dxfId="374" priority="547" operator="equal">
      <formula>"STUDY"</formula>
    </cfRule>
    <cfRule type="cellIs" dxfId="373" priority="548" operator="equal">
      <formula>"REJECTED"</formula>
    </cfRule>
    <cfRule type="cellIs" dxfId="372" priority="549" operator="equal">
      <formula>"ACCEPTED"</formula>
    </cfRule>
  </conditionalFormatting>
  <conditionalFormatting sqref="Q8">
    <cfRule type="cellIs" dxfId="371" priority="550" operator="equal">
      <formula>"2. SHOULD"</formula>
    </cfRule>
    <cfRule type="cellIs" dxfId="370" priority="551" operator="equal">
      <formula>"3. N/A"</formula>
    </cfRule>
    <cfRule type="cellIs" dxfId="369" priority="552" operator="equal">
      <formula>"1. MUST"</formula>
    </cfRule>
  </conditionalFormatting>
  <conditionalFormatting sqref="T8">
    <cfRule type="cellIs" dxfId="368" priority="539" operator="equal">
      <formula>"N/A"</formula>
    </cfRule>
    <cfRule type="cellIs" dxfId="367" priority="540" operator="equal">
      <formula>"STUDY"</formula>
    </cfRule>
    <cfRule type="cellIs" dxfId="366" priority="541" operator="equal">
      <formula>"REJECTED"</formula>
    </cfRule>
    <cfRule type="cellIs" dxfId="365" priority="542" operator="equal">
      <formula>"ACCEPTED"</formula>
    </cfRule>
  </conditionalFormatting>
  <conditionalFormatting sqref="S8">
    <cfRule type="cellIs" dxfId="364" priority="543" operator="equal">
      <formula>"2. SHOULD"</formula>
    </cfRule>
    <cfRule type="cellIs" dxfId="363" priority="544" operator="equal">
      <formula>"3. N/A"</formula>
    </cfRule>
    <cfRule type="cellIs" dxfId="362" priority="545" operator="equal">
      <formula>"1. MUST"</formula>
    </cfRule>
  </conditionalFormatting>
  <conditionalFormatting sqref="V8">
    <cfRule type="cellIs" dxfId="361" priority="532" operator="equal">
      <formula>"N/A"</formula>
    </cfRule>
    <cfRule type="cellIs" dxfId="360" priority="533" operator="equal">
      <formula>"STUDY"</formula>
    </cfRule>
    <cfRule type="cellIs" dxfId="359" priority="534" operator="equal">
      <formula>"REJECTED"</formula>
    </cfRule>
    <cfRule type="cellIs" dxfId="358" priority="535" operator="equal">
      <formula>"ACCEPTED"</formula>
    </cfRule>
  </conditionalFormatting>
  <conditionalFormatting sqref="U8">
    <cfRule type="cellIs" dxfId="357" priority="536" operator="equal">
      <formula>"2. SHOULD"</formula>
    </cfRule>
    <cfRule type="cellIs" dxfId="356" priority="537" operator="equal">
      <formula>"3. N/A"</formula>
    </cfRule>
    <cfRule type="cellIs" dxfId="355" priority="538" operator="equal">
      <formula>"1. MUST"</formula>
    </cfRule>
  </conditionalFormatting>
  <conditionalFormatting sqref="X8">
    <cfRule type="cellIs" dxfId="354" priority="525" operator="equal">
      <formula>"N/A"</formula>
    </cfRule>
    <cfRule type="cellIs" dxfId="353" priority="526" operator="equal">
      <formula>"STUDY"</formula>
    </cfRule>
    <cfRule type="cellIs" dxfId="352" priority="527" operator="equal">
      <formula>"REJECTED"</formula>
    </cfRule>
    <cfRule type="cellIs" dxfId="351" priority="528" operator="equal">
      <formula>"ACCEPTED"</formula>
    </cfRule>
  </conditionalFormatting>
  <conditionalFormatting sqref="W8">
    <cfRule type="cellIs" dxfId="350" priority="529" operator="equal">
      <formula>"2. SHOULD"</formula>
    </cfRule>
    <cfRule type="cellIs" dxfId="349" priority="530" operator="equal">
      <formula>"3. N/A"</formula>
    </cfRule>
    <cfRule type="cellIs" dxfId="348" priority="531" operator="equal">
      <formula>"1. MUST"</formula>
    </cfRule>
  </conditionalFormatting>
  <conditionalFormatting sqref="Z8">
    <cfRule type="cellIs" dxfId="347" priority="518" operator="equal">
      <formula>"N/A"</formula>
    </cfRule>
    <cfRule type="cellIs" dxfId="346" priority="519" operator="equal">
      <formula>"STUDY"</formula>
    </cfRule>
    <cfRule type="cellIs" dxfId="345" priority="520" operator="equal">
      <formula>"REJECTED"</formula>
    </cfRule>
    <cfRule type="cellIs" dxfId="344" priority="521" operator="equal">
      <formula>"ACCEPTED"</formula>
    </cfRule>
  </conditionalFormatting>
  <conditionalFormatting sqref="Y8">
    <cfRule type="cellIs" dxfId="343" priority="522" operator="equal">
      <formula>"2. SHOULD"</formula>
    </cfRule>
    <cfRule type="cellIs" dxfId="342" priority="523" operator="equal">
      <formula>"3. N/A"</formula>
    </cfRule>
    <cfRule type="cellIs" dxfId="341" priority="524" operator="equal">
      <formula>"1. MUST"</formula>
    </cfRule>
  </conditionalFormatting>
  <conditionalFormatting sqref="R9">
    <cfRule type="cellIs" dxfId="340" priority="511" operator="equal">
      <formula>"N/A"</formula>
    </cfRule>
    <cfRule type="cellIs" dxfId="339" priority="512" operator="equal">
      <formula>"STUDY"</formula>
    </cfRule>
    <cfRule type="cellIs" dxfId="338" priority="513" operator="equal">
      <formula>"REJECTED"</formula>
    </cfRule>
    <cfRule type="cellIs" dxfId="337" priority="514" operator="equal">
      <formula>"ACCEPTED"</formula>
    </cfRule>
  </conditionalFormatting>
  <conditionalFormatting sqref="Q9">
    <cfRule type="cellIs" dxfId="336" priority="515" operator="equal">
      <formula>"2. SHOULD"</formula>
    </cfRule>
    <cfRule type="cellIs" dxfId="335" priority="516" operator="equal">
      <formula>"3. N/A"</formula>
    </cfRule>
    <cfRule type="cellIs" dxfId="334" priority="517" operator="equal">
      <formula>"1. MUST"</formula>
    </cfRule>
  </conditionalFormatting>
  <conditionalFormatting sqref="T9">
    <cfRule type="cellIs" dxfId="333" priority="504" operator="equal">
      <formula>"N/A"</formula>
    </cfRule>
    <cfRule type="cellIs" dxfId="332" priority="505" operator="equal">
      <formula>"STUDY"</formula>
    </cfRule>
    <cfRule type="cellIs" dxfId="331" priority="506" operator="equal">
      <formula>"REJECTED"</formula>
    </cfRule>
    <cfRule type="cellIs" dxfId="330" priority="507" operator="equal">
      <formula>"ACCEPTED"</formula>
    </cfRule>
  </conditionalFormatting>
  <conditionalFormatting sqref="S9">
    <cfRule type="cellIs" dxfId="329" priority="508" operator="equal">
      <formula>"2. SHOULD"</formula>
    </cfRule>
    <cfRule type="cellIs" dxfId="328" priority="509" operator="equal">
      <formula>"3. N/A"</formula>
    </cfRule>
    <cfRule type="cellIs" dxfId="327" priority="510" operator="equal">
      <formula>"1. MUST"</formula>
    </cfRule>
  </conditionalFormatting>
  <conditionalFormatting sqref="V9">
    <cfRule type="cellIs" dxfId="326" priority="497" operator="equal">
      <formula>"N/A"</formula>
    </cfRule>
    <cfRule type="cellIs" dxfId="325" priority="498" operator="equal">
      <formula>"STUDY"</formula>
    </cfRule>
    <cfRule type="cellIs" dxfId="324" priority="499" operator="equal">
      <formula>"REJECTED"</formula>
    </cfRule>
    <cfRule type="cellIs" dxfId="323" priority="500" operator="equal">
      <formula>"ACCEPTED"</formula>
    </cfRule>
  </conditionalFormatting>
  <conditionalFormatting sqref="U9">
    <cfRule type="cellIs" dxfId="322" priority="501" operator="equal">
      <formula>"2. SHOULD"</formula>
    </cfRule>
    <cfRule type="cellIs" dxfId="321" priority="502" operator="equal">
      <formula>"3. N/A"</formula>
    </cfRule>
    <cfRule type="cellIs" dxfId="320" priority="503" operator="equal">
      <formula>"1. MUST"</formula>
    </cfRule>
  </conditionalFormatting>
  <conditionalFormatting sqref="X9">
    <cfRule type="cellIs" dxfId="319" priority="490" operator="equal">
      <formula>"N/A"</formula>
    </cfRule>
    <cfRule type="cellIs" dxfId="318" priority="491" operator="equal">
      <formula>"STUDY"</formula>
    </cfRule>
    <cfRule type="cellIs" dxfId="317" priority="492" operator="equal">
      <formula>"REJECTED"</formula>
    </cfRule>
    <cfRule type="cellIs" dxfId="316" priority="493" operator="equal">
      <formula>"ACCEPTED"</formula>
    </cfRule>
  </conditionalFormatting>
  <conditionalFormatting sqref="W9">
    <cfRule type="cellIs" dxfId="315" priority="494" operator="equal">
      <formula>"2. SHOULD"</formula>
    </cfRule>
    <cfRule type="cellIs" dxfId="314" priority="495" operator="equal">
      <formula>"3. N/A"</formula>
    </cfRule>
    <cfRule type="cellIs" dxfId="313" priority="496" operator="equal">
      <formula>"1. MUST"</formula>
    </cfRule>
  </conditionalFormatting>
  <conditionalFormatting sqref="Z9">
    <cfRule type="cellIs" dxfId="312" priority="483" operator="equal">
      <formula>"N/A"</formula>
    </cfRule>
    <cfRule type="cellIs" dxfId="311" priority="484" operator="equal">
      <formula>"STUDY"</formula>
    </cfRule>
    <cfRule type="cellIs" dxfId="310" priority="485" operator="equal">
      <formula>"REJECTED"</formula>
    </cfRule>
    <cfRule type="cellIs" dxfId="309" priority="486" operator="equal">
      <formula>"ACCEPTED"</formula>
    </cfRule>
  </conditionalFormatting>
  <conditionalFormatting sqref="Y9">
    <cfRule type="cellIs" dxfId="308" priority="487" operator="equal">
      <formula>"2. SHOULD"</formula>
    </cfRule>
    <cfRule type="cellIs" dxfId="307" priority="488" operator="equal">
      <formula>"3. N/A"</formula>
    </cfRule>
    <cfRule type="cellIs" dxfId="306" priority="489" operator="equal">
      <formula>"1. MUST"</formula>
    </cfRule>
  </conditionalFormatting>
  <conditionalFormatting sqref="R10">
    <cfRule type="cellIs" dxfId="305" priority="476" operator="equal">
      <formula>"N/A"</formula>
    </cfRule>
    <cfRule type="cellIs" dxfId="304" priority="477" operator="equal">
      <formula>"STUDY"</formula>
    </cfRule>
    <cfRule type="cellIs" dxfId="303" priority="478" operator="equal">
      <formula>"REJECTED"</formula>
    </cfRule>
    <cfRule type="cellIs" dxfId="302" priority="479" operator="equal">
      <formula>"ACCEPTED"</formula>
    </cfRule>
  </conditionalFormatting>
  <conditionalFormatting sqref="Q10">
    <cfRule type="cellIs" dxfId="301" priority="480" operator="equal">
      <formula>"2. SHOULD"</formula>
    </cfRule>
    <cfRule type="cellIs" dxfId="300" priority="481" operator="equal">
      <formula>"3. N/A"</formula>
    </cfRule>
    <cfRule type="cellIs" dxfId="299" priority="482" operator="equal">
      <formula>"1. MUST"</formula>
    </cfRule>
  </conditionalFormatting>
  <conditionalFormatting sqref="T10">
    <cfRule type="cellIs" dxfId="298" priority="469" operator="equal">
      <formula>"N/A"</formula>
    </cfRule>
    <cfRule type="cellIs" dxfId="297" priority="470" operator="equal">
      <formula>"STUDY"</formula>
    </cfRule>
    <cfRule type="cellIs" dxfId="296" priority="471" operator="equal">
      <formula>"REJECTED"</formula>
    </cfRule>
    <cfRule type="cellIs" dxfId="295" priority="472" operator="equal">
      <formula>"ACCEPTED"</formula>
    </cfRule>
  </conditionalFormatting>
  <conditionalFormatting sqref="S10">
    <cfRule type="cellIs" dxfId="294" priority="473" operator="equal">
      <formula>"2. SHOULD"</formula>
    </cfRule>
    <cfRule type="cellIs" dxfId="293" priority="474" operator="equal">
      <formula>"3. N/A"</formula>
    </cfRule>
    <cfRule type="cellIs" dxfId="292" priority="475" operator="equal">
      <formula>"1. MUST"</formula>
    </cfRule>
  </conditionalFormatting>
  <conditionalFormatting sqref="V10">
    <cfRule type="cellIs" dxfId="291" priority="462" operator="equal">
      <formula>"N/A"</formula>
    </cfRule>
    <cfRule type="cellIs" dxfId="290" priority="463" operator="equal">
      <formula>"STUDY"</formula>
    </cfRule>
    <cfRule type="cellIs" dxfId="289" priority="464" operator="equal">
      <formula>"REJECTED"</formula>
    </cfRule>
    <cfRule type="cellIs" dxfId="288" priority="465" operator="equal">
      <formula>"ACCEPTED"</formula>
    </cfRule>
  </conditionalFormatting>
  <conditionalFormatting sqref="U10">
    <cfRule type="cellIs" dxfId="287" priority="466" operator="equal">
      <formula>"2. SHOULD"</formula>
    </cfRule>
    <cfRule type="cellIs" dxfId="286" priority="467" operator="equal">
      <formula>"3. N/A"</formula>
    </cfRule>
    <cfRule type="cellIs" dxfId="285" priority="468" operator="equal">
      <formula>"1. MUST"</formula>
    </cfRule>
  </conditionalFormatting>
  <conditionalFormatting sqref="X10">
    <cfRule type="cellIs" dxfId="284" priority="455" operator="equal">
      <formula>"N/A"</formula>
    </cfRule>
    <cfRule type="cellIs" dxfId="283" priority="456" operator="equal">
      <formula>"STUDY"</formula>
    </cfRule>
    <cfRule type="cellIs" dxfId="282" priority="457" operator="equal">
      <formula>"REJECTED"</formula>
    </cfRule>
    <cfRule type="cellIs" dxfId="281" priority="458" operator="equal">
      <formula>"ACCEPTED"</formula>
    </cfRule>
  </conditionalFormatting>
  <conditionalFormatting sqref="W10">
    <cfRule type="cellIs" dxfId="280" priority="459" operator="equal">
      <formula>"2. SHOULD"</formula>
    </cfRule>
    <cfRule type="cellIs" dxfId="279" priority="460" operator="equal">
      <formula>"3. N/A"</formula>
    </cfRule>
    <cfRule type="cellIs" dxfId="278" priority="461" operator="equal">
      <formula>"1. MUST"</formula>
    </cfRule>
  </conditionalFormatting>
  <conditionalFormatting sqref="Z10">
    <cfRule type="cellIs" dxfId="277" priority="448" operator="equal">
      <formula>"N/A"</formula>
    </cfRule>
    <cfRule type="cellIs" dxfId="276" priority="449" operator="equal">
      <formula>"STUDY"</formula>
    </cfRule>
    <cfRule type="cellIs" dxfId="275" priority="450" operator="equal">
      <formula>"REJECTED"</formula>
    </cfRule>
    <cfRule type="cellIs" dxfId="274" priority="451" operator="equal">
      <formula>"ACCEPTED"</formula>
    </cfRule>
  </conditionalFormatting>
  <conditionalFormatting sqref="Y10">
    <cfRule type="cellIs" dxfId="273" priority="452" operator="equal">
      <formula>"2. SHOULD"</formula>
    </cfRule>
    <cfRule type="cellIs" dxfId="272" priority="453" operator="equal">
      <formula>"3. N/A"</formula>
    </cfRule>
    <cfRule type="cellIs" dxfId="271" priority="454" operator="equal">
      <formula>"1. MUST"</formula>
    </cfRule>
  </conditionalFormatting>
  <conditionalFormatting sqref="N11">
    <cfRule type="cellIs" dxfId="270" priority="315" operator="equal">
      <formula>"N/A"</formula>
    </cfRule>
    <cfRule type="cellIs" dxfId="269" priority="316" operator="equal">
      <formula>"STUDY"</formula>
    </cfRule>
    <cfRule type="cellIs" dxfId="268" priority="317" operator="equal">
      <formula>"REJECTED"</formula>
    </cfRule>
    <cfRule type="cellIs" dxfId="267" priority="318" operator="equal">
      <formula>"ACCEPTED"</formula>
    </cfRule>
  </conditionalFormatting>
  <conditionalFormatting sqref="M11">
    <cfRule type="cellIs" dxfId="266" priority="319" operator="equal">
      <formula>"2. SHOULD"</formula>
    </cfRule>
    <cfRule type="cellIs" dxfId="265" priority="320" operator="equal">
      <formula>"3. N/A"</formula>
    </cfRule>
    <cfRule type="cellIs" dxfId="264" priority="321" operator="equal">
      <formula>"1. MUST"</formula>
    </cfRule>
  </conditionalFormatting>
  <conditionalFormatting sqref="N18:N19 N14:N16">
    <cfRule type="cellIs" dxfId="263" priority="280" operator="equal">
      <formula>"N/A"</formula>
    </cfRule>
    <cfRule type="cellIs" dxfId="262" priority="281" operator="equal">
      <formula>"STUDY"</formula>
    </cfRule>
    <cfRule type="cellIs" dxfId="261" priority="282" operator="equal">
      <formula>"REJECTED"</formula>
    </cfRule>
    <cfRule type="cellIs" dxfId="260" priority="283" operator="equal">
      <formula>"ACCEPTED"</formula>
    </cfRule>
  </conditionalFormatting>
  <conditionalFormatting sqref="M18:M19 M14:M16">
    <cfRule type="cellIs" dxfId="259" priority="284" operator="equal">
      <formula>"2. SHOULD"</formula>
    </cfRule>
    <cfRule type="cellIs" dxfId="258" priority="285" operator="equal">
      <formula>"3. N/A"</formula>
    </cfRule>
    <cfRule type="cellIs" dxfId="257" priority="286" operator="equal">
      <formula>"1. MUST"</formula>
    </cfRule>
  </conditionalFormatting>
  <conditionalFormatting sqref="N3">
    <cfRule type="cellIs" dxfId="256" priority="308" operator="equal">
      <formula>"N/A"</formula>
    </cfRule>
    <cfRule type="cellIs" dxfId="255" priority="309" operator="equal">
      <formula>"STUDY"</formula>
    </cfRule>
    <cfRule type="cellIs" dxfId="254" priority="310" operator="equal">
      <formula>"REJECTED"</formula>
    </cfRule>
    <cfRule type="cellIs" dxfId="253" priority="311" operator="equal">
      <formula>"ACCEPTED"</formula>
    </cfRule>
  </conditionalFormatting>
  <conditionalFormatting sqref="M3">
    <cfRule type="cellIs" dxfId="252" priority="312" operator="equal">
      <formula>"2. SHOULD"</formula>
    </cfRule>
    <cfRule type="cellIs" dxfId="251" priority="313" operator="equal">
      <formula>"3. N/A"</formula>
    </cfRule>
    <cfRule type="cellIs" dxfId="250" priority="314" operator="equal">
      <formula>"1. MUST"</formula>
    </cfRule>
  </conditionalFormatting>
  <conditionalFormatting sqref="N5">
    <cfRule type="cellIs" dxfId="249" priority="266" operator="equal">
      <formula>"N/A"</formula>
    </cfRule>
    <cfRule type="cellIs" dxfId="248" priority="267" operator="equal">
      <formula>"STUDY"</formula>
    </cfRule>
    <cfRule type="cellIs" dxfId="247" priority="268" operator="equal">
      <formula>"REJECTED"</formula>
    </cfRule>
    <cfRule type="cellIs" dxfId="246" priority="269" operator="equal">
      <formula>"ACCEPTED"</formula>
    </cfRule>
  </conditionalFormatting>
  <conditionalFormatting sqref="M5">
    <cfRule type="cellIs" dxfId="245" priority="270" operator="equal">
      <formula>"2. SHOULD"</formula>
    </cfRule>
    <cfRule type="cellIs" dxfId="244" priority="271" operator="equal">
      <formula>"3. N/A"</formula>
    </cfRule>
    <cfRule type="cellIs" dxfId="243" priority="272" operator="equal">
      <formula>"1. MUST"</formula>
    </cfRule>
  </conditionalFormatting>
  <conditionalFormatting sqref="N12:N13">
    <cfRule type="cellIs" dxfId="242" priority="301" operator="equal">
      <formula>"N/A"</formula>
    </cfRule>
    <cfRule type="cellIs" dxfId="241" priority="302" operator="equal">
      <formula>"STUDY"</formula>
    </cfRule>
    <cfRule type="cellIs" dxfId="240" priority="303" operator="equal">
      <formula>"REJECTED"</formula>
    </cfRule>
    <cfRule type="cellIs" dxfId="239" priority="304" operator="equal">
      <formula>"ACCEPTED"</formula>
    </cfRule>
  </conditionalFormatting>
  <conditionalFormatting sqref="M12">
    <cfRule type="cellIs" dxfId="238" priority="305" operator="equal">
      <formula>"2. SHOULD"</formula>
    </cfRule>
    <cfRule type="cellIs" dxfId="237" priority="306" operator="equal">
      <formula>"3. N/A"</formula>
    </cfRule>
    <cfRule type="cellIs" dxfId="236" priority="307" operator="equal">
      <formula>"1. MUST"</formula>
    </cfRule>
  </conditionalFormatting>
  <conditionalFormatting sqref="M13">
    <cfRule type="cellIs" dxfId="235" priority="298" operator="equal">
      <formula>"2. SHOULD"</formula>
    </cfRule>
    <cfRule type="cellIs" dxfId="234" priority="299" operator="equal">
      <formula>"3. N/A"</formula>
    </cfRule>
    <cfRule type="cellIs" dxfId="233" priority="300" operator="equal">
      <formula>"1. MUST"</formula>
    </cfRule>
  </conditionalFormatting>
  <conditionalFormatting sqref="N4">
    <cfRule type="cellIs" dxfId="232" priority="273" operator="equal">
      <formula>"N/A"</formula>
    </cfRule>
    <cfRule type="cellIs" dxfId="231" priority="274" operator="equal">
      <formula>"STUDY"</formula>
    </cfRule>
    <cfRule type="cellIs" dxfId="230" priority="275" operator="equal">
      <formula>"REJECTED"</formula>
    </cfRule>
    <cfRule type="cellIs" dxfId="229" priority="276" operator="equal">
      <formula>"ACCEPTED"</formula>
    </cfRule>
  </conditionalFormatting>
  <conditionalFormatting sqref="M4">
    <cfRule type="cellIs" dxfId="228" priority="277" operator="equal">
      <formula>"2. SHOULD"</formula>
    </cfRule>
    <cfRule type="cellIs" dxfId="227" priority="278" operator="equal">
      <formula>"3. N/A"</formula>
    </cfRule>
    <cfRule type="cellIs" dxfId="226" priority="279" operator="equal">
      <formula>"1. MUST"</formula>
    </cfRule>
  </conditionalFormatting>
  <conditionalFormatting sqref="N6">
    <cfRule type="cellIs" dxfId="225" priority="259" operator="equal">
      <formula>"N/A"</formula>
    </cfRule>
    <cfRule type="cellIs" dxfId="224" priority="260" operator="equal">
      <formula>"STUDY"</formula>
    </cfRule>
    <cfRule type="cellIs" dxfId="223" priority="261" operator="equal">
      <formula>"REJECTED"</formula>
    </cfRule>
    <cfRule type="cellIs" dxfId="222" priority="262" operator="equal">
      <formula>"ACCEPTED"</formula>
    </cfRule>
  </conditionalFormatting>
  <conditionalFormatting sqref="M6">
    <cfRule type="cellIs" dxfId="221" priority="263" operator="equal">
      <formula>"2. SHOULD"</formula>
    </cfRule>
    <cfRule type="cellIs" dxfId="220" priority="264" operator="equal">
      <formula>"3. N/A"</formula>
    </cfRule>
    <cfRule type="cellIs" dxfId="219" priority="265" operator="equal">
      <formula>"1. MUST"</formula>
    </cfRule>
  </conditionalFormatting>
  <conditionalFormatting sqref="N7">
    <cfRule type="cellIs" dxfId="218" priority="252" operator="equal">
      <formula>"N/A"</formula>
    </cfRule>
    <cfRule type="cellIs" dxfId="217" priority="253" operator="equal">
      <formula>"STUDY"</formula>
    </cfRule>
    <cfRule type="cellIs" dxfId="216" priority="254" operator="equal">
      <formula>"REJECTED"</formula>
    </cfRule>
    <cfRule type="cellIs" dxfId="215" priority="255" operator="equal">
      <formula>"ACCEPTED"</formula>
    </cfRule>
  </conditionalFormatting>
  <conditionalFormatting sqref="M7">
    <cfRule type="cellIs" dxfId="214" priority="256" operator="equal">
      <formula>"2. SHOULD"</formula>
    </cfRule>
    <cfRule type="cellIs" dxfId="213" priority="257" operator="equal">
      <formula>"3. N/A"</formula>
    </cfRule>
    <cfRule type="cellIs" dxfId="212" priority="258" operator="equal">
      <formula>"1. MUST"</formula>
    </cfRule>
  </conditionalFormatting>
  <conditionalFormatting sqref="N8">
    <cfRule type="cellIs" dxfId="211" priority="245" operator="equal">
      <formula>"N/A"</formula>
    </cfRule>
    <cfRule type="cellIs" dxfId="210" priority="246" operator="equal">
      <formula>"STUDY"</formula>
    </cfRule>
    <cfRule type="cellIs" dxfId="209" priority="247" operator="equal">
      <formula>"REJECTED"</formula>
    </cfRule>
    <cfRule type="cellIs" dxfId="208" priority="248" operator="equal">
      <formula>"ACCEPTED"</formula>
    </cfRule>
  </conditionalFormatting>
  <conditionalFormatting sqref="M8">
    <cfRule type="cellIs" dxfId="207" priority="249" operator="equal">
      <formula>"2. SHOULD"</formula>
    </cfRule>
    <cfRule type="cellIs" dxfId="206" priority="250" operator="equal">
      <formula>"3. N/A"</formula>
    </cfRule>
    <cfRule type="cellIs" dxfId="205" priority="251" operator="equal">
      <formula>"1. MUST"</formula>
    </cfRule>
  </conditionalFormatting>
  <conditionalFormatting sqref="N9">
    <cfRule type="cellIs" dxfId="204" priority="238" operator="equal">
      <formula>"N/A"</formula>
    </cfRule>
    <cfRule type="cellIs" dxfId="203" priority="239" operator="equal">
      <formula>"STUDY"</formula>
    </cfRule>
    <cfRule type="cellIs" dxfId="202" priority="240" operator="equal">
      <formula>"REJECTED"</formula>
    </cfRule>
    <cfRule type="cellIs" dxfId="201" priority="241" operator="equal">
      <formula>"ACCEPTED"</formula>
    </cfRule>
  </conditionalFormatting>
  <conditionalFormatting sqref="M9">
    <cfRule type="cellIs" dxfId="200" priority="242" operator="equal">
      <formula>"2. SHOULD"</formula>
    </cfRule>
    <cfRule type="cellIs" dxfId="199" priority="243" operator="equal">
      <formula>"3. N/A"</formula>
    </cfRule>
    <cfRule type="cellIs" dxfId="198" priority="244" operator="equal">
      <formula>"1. MUST"</formula>
    </cfRule>
  </conditionalFormatting>
  <conditionalFormatting sqref="N10">
    <cfRule type="cellIs" dxfId="197" priority="231" operator="equal">
      <formula>"N/A"</formula>
    </cfRule>
    <cfRule type="cellIs" dxfId="196" priority="232" operator="equal">
      <formula>"STUDY"</formula>
    </cfRule>
    <cfRule type="cellIs" dxfId="195" priority="233" operator="equal">
      <formula>"REJECTED"</formula>
    </cfRule>
    <cfRule type="cellIs" dxfId="194" priority="234" operator="equal">
      <formula>"ACCEPTED"</formula>
    </cfRule>
  </conditionalFormatting>
  <conditionalFormatting sqref="M10">
    <cfRule type="cellIs" dxfId="193" priority="235" operator="equal">
      <formula>"2. SHOULD"</formula>
    </cfRule>
    <cfRule type="cellIs" dxfId="192" priority="236" operator="equal">
      <formula>"3. N/A"</formula>
    </cfRule>
    <cfRule type="cellIs" dxfId="191" priority="237" operator="equal">
      <formula>"1. MUST"</formula>
    </cfRule>
  </conditionalFormatting>
  <conditionalFormatting sqref="L17">
    <cfRule type="cellIs" dxfId="190" priority="217" operator="equal">
      <formula>"N/A"</formula>
    </cfRule>
    <cfRule type="cellIs" dxfId="189" priority="218" operator="equal">
      <formula>"STUDY"</formula>
    </cfRule>
    <cfRule type="cellIs" dxfId="188" priority="219" operator="equal">
      <formula>"REJECTED"</formula>
    </cfRule>
    <cfRule type="cellIs" dxfId="187" priority="220" operator="equal">
      <formula>"ACCEPTED"</formula>
    </cfRule>
  </conditionalFormatting>
  <conditionalFormatting sqref="K17">
    <cfRule type="cellIs" dxfId="186" priority="221" operator="equal">
      <formula>"2. SHOULD"</formula>
    </cfRule>
    <cfRule type="cellIs" dxfId="185" priority="222" operator="equal">
      <formula>"3. N/A"</formula>
    </cfRule>
    <cfRule type="cellIs" dxfId="184" priority="223" operator="equal">
      <formula>"1. MUST"</formula>
    </cfRule>
  </conditionalFormatting>
  <conditionalFormatting sqref="N17">
    <cfRule type="cellIs" dxfId="183" priority="210" operator="equal">
      <formula>"N/A"</formula>
    </cfRule>
    <cfRule type="cellIs" dxfId="182" priority="211" operator="equal">
      <formula>"STUDY"</formula>
    </cfRule>
    <cfRule type="cellIs" dxfId="181" priority="212" operator="equal">
      <formula>"REJECTED"</formula>
    </cfRule>
    <cfRule type="cellIs" dxfId="180" priority="213" operator="equal">
      <formula>"ACCEPTED"</formula>
    </cfRule>
  </conditionalFormatting>
  <conditionalFormatting sqref="M17">
    <cfRule type="cellIs" dxfId="179" priority="214" operator="equal">
      <formula>"2. SHOULD"</formula>
    </cfRule>
    <cfRule type="cellIs" dxfId="178" priority="215" operator="equal">
      <formula>"3. N/A"</formula>
    </cfRule>
    <cfRule type="cellIs" dxfId="177" priority="216" operator="equal">
      <formula>"1. MUST"</formula>
    </cfRule>
  </conditionalFormatting>
  <conditionalFormatting sqref="AB16">
    <cfRule type="expression" dxfId="176" priority="14321">
      <formula>IF(OR(AND($H16="REJECTED",$AB16=""),AND($J16="REJECTED",$AB16=""),AND(#REF!="REJECTED",$AB16=""),AND(#REF!="REJECTED",$AB16="")),1,0)</formula>
    </cfRule>
  </conditionalFormatting>
  <conditionalFormatting sqref="AD16">
    <cfRule type="expression" dxfId="175" priority="14325">
      <formula>IF(OR(AND($H16="INHERITED",$AD16=""),AND($J16="INHERITED",$AD16=""),AND(#REF!="INHERITED",$AD16=""),AND(#REF!="INHERITED",$AD16="")),1,0)</formula>
    </cfRule>
  </conditionalFormatting>
  <conditionalFormatting sqref="AB13">
    <cfRule type="expression" dxfId="174" priority="14368">
      <formula>IF(OR(AND($H13="REJECTED",$AB13=""),AND($J13="REJECTED",$AB13=""),AND($L13="REJECTED",$AB13=""),AND(#REF!="REJECTED",$AB13="")),1,0)</formula>
    </cfRule>
  </conditionalFormatting>
  <conditionalFormatting sqref="AD13">
    <cfRule type="expression" dxfId="173" priority="14369">
      <formula>IF(OR(AND($H13="INHERITED",$AD13=""),AND($J13="INHERITED",$AD13=""),AND($L13="INHERITED",$AD13=""),AND(#REF!="INHERITED",$AD13="")),1,0)</formula>
    </cfRule>
  </conditionalFormatting>
  <conditionalFormatting sqref="AB58:AB65">
    <cfRule type="expression" dxfId="172" priority="18425">
      <formula>IF(OR(AND(#REF!="REJECTED",$AB58=""),AND($J58="REJECTED",$AB58=""),AND($L58="REJECTED",$AB58=""),AND($N58="REJECTED",$AB58="")),1,0)</formula>
    </cfRule>
  </conditionalFormatting>
  <conditionalFormatting sqref="AD58:AD65">
    <cfRule type="expression" dxfId="171" priority="18428">
      <formula>IF(OR(AND(#REF!="INHERITED",$AD58=""),AND($J58="INHERITED",$AD58=""),AND($L58="INHERITED",$AD58=""),AND($N58="INHERITED",$AD58="")),1,0)</formula>
    </cfRule>
  </conditionalFormatting>
  <conditionalFormatting sqref="L58:L65 J58:J65">
    <cfRule type="cellIs" dxfId="170" priority="203" operator="equal">
      <formula>"N/A"</formula>
    </cfRule>
    <cfRule type="cellIs" dxfId="169" priority="204" operator="equal">
      <formula>"STUDY"</formula>
    </cfRule>
    <cfRule type="cellIs" dxfId="168" priority="205" operator="equal">
      <formula>"REJECTED"</formula>
    </cfRule>
    <cfRule type="cellIs" dxfId="167" priority="206" operator="equal">
      <formula>"ACCEPTED"</formula>
    </cfRule>
  </conditionalFormatting>
  <conditionalFormatting sqref="K58 K64:K65">
    <cfRule type="cellIs" dxfId="166" priority="207" operator="equal">
      <formula>"2. SHOULD"</formula>
    </cfRule>
    <cfRule type="cellIs" dxfId="165" priority="208" operator="equal">
      <formula>"3. N/A"</formula>
    </cfRule>
    <cfRule type="cellIs" dxfId="164" priority="209" operator="equal">
      <formula>"1. MUST"</formula>
    </cfRule>
  </conditionalFormatting>
  <conditionalFormatting sqref="N58:N65">
    <cfRule type="cellIs" dxfId="163" priority="196" operator="equal">
      <formula>"N/A"</formula>
    </cfRule>
    <cfRule type="cellIs" dxfId="162" priority="197" operator="equal">
      <formula>"STUDY"</formula>
    </cfRule>
    <cfRule type="cellIs" dxfId="161" priority="198" operator="equal">
      <formula>"REJECTED"</formula>
    </cfRule>
    <cfRule type="cellIs" dxfId="160" priority="199" operator="equal">
      <formula>"ACCEPTED"</formula>
    </cfRule>
  </conditionalFormatting>
  <conditionalFormatting sqref="M58:M65">
    <cfRule type="cellIs" dxfId="159" priority="200" operator="equal">
      <formula>"2. SHOULD"</formula>
    </cfRule>
    <cfRule type="cellIs" dxfId="158" priority="201" operator="equal">
      <formula>"3. N/A"</formula>
    </cfRule>
    <cfRule type="cellIs" dxfId="157" priority="202" operator="equal">
      <formula>"1. MUST"</formula>
    </cfRule>
  </conditionalFormatting>
  <conditionalFormatting sqref="K59:K63">
    <cfRule type="cellIs" dxfId="156" priority="193" operator="equal">
      <formula>"2. SHOULD"</formula>
    </cfRule>
    <cfRule type="cellIs" dxfId="155" priority="194" operator="equal">
      <formula>"3. N/A"</formula>
    </cfRule>
    <cfRule type="cellIs" dxfId="154" priority="195" operator="equal">
      <formula>"1. MUST"</formula>
    </cfRule>
  </conditionalFormatting>
  <conditionalFormatting sqref="B3:B78">
    <cfRule type="duplicateValues" dxfId="153" priority="18629"/>
  </conditionalFormatting>
  <conditionalFormatting sqref="P66:P77 P21 P23:P27 P50 P52:P54 P57 P40:P45 P29:P38">
    <cfRule type="cellIs" dxfId="152" priority="186" operator="equal">
      <formula>"N/A"</formula>
    </cfRule>
    <cfRule type="cellIs" dxfId="151" priority="187" operator="equal">
      <formula>"STUDY"</formula>
    </cfRule>
    <cfRule type="cellIs" dxfId="150" priority="188" operator="equal">
      <formula>"REJECTED"</formula>
    </cfRule>
    <cfRule type="cellIs" dxfId="149" priority="189" operator="equal">
      <formula>"ACCEPTED"</formula>
    </cfRule>
  </conditionalFormatting>
  <conditionalFormatting sqref="O66:O77 O21 O23:O27 O50 O52:O54 O57 O40:O45 O29:O38">
    <cfRule type="cellIs" dxfId="148" priority="190" operator="equal">
      <formula>"2. SHOULD"</formula>
    </cfRule>
    <cfRule type="cellIs" dxfId="147" priority="191" operator="equal">
      <formula>"3. N/A"</formula>
    </cfRule>
    <cfRule type="cellIs" dxfId="146" priority="192" operator="equal">
      <formula>"1. MUST"</formula>
    </cfRule>
  </conditionalFormatting>
  <conditionalFormatting sqref="P11">
    <cfRule type="cellIs" dxfId="145" priority="179" operator="equal">
      <formula>"N/A"</formula>
    </cfRule>
    <cfRule type="cellIs" dxfId="144" priority="180" operator="equal">
      <formula>"STUDY"</formula>
    </cfRule>
    <cfRule type="cellIs" dxfId="143" priority="181" operator="equal">
      <formula>"REJECTED"</formula>
    </cfRule>
    <cfRule type="cellIs" dxfId="142" priority="182" operator="equal">
      <formula>"ACCEPTED"</formula>
    </cfRule>
  </conditionalFormatting>
  <conditionalFormatting sqref="O11">
    <cfRule type="cellIs" dxfId="141" priority="183" operator="equal">
      <formula>"2. SHOULD"</formula>
    </cfRule>
    <cfRule type="cellIs" dxfId="140" priority="184" operator="equal">
      <formula>"3. N/A"</formula>
    </cfRule>
    <cfRule type="cellIs" dxfId="139" priority="185" operator="equal">
      <formula>"1. MUST"</formula>
    </cfRule>
  </conditionalFormatting>
  <conditionalFormatting sqref="P18:P19 P14 P16">
    <cfRule type="cellIs" dxfId="138" priority="151" operator="equal">
      <formula>"N/A"</formula>
    </cfRule>
    <cfRule type="cellIs" dxfId="137" priority="152" operator="equal">
      <formula>"STUDY"</formula>
    </cfRule>
    <cfRule type="cellIs" dxfId="136" priority="153" operator="equal">
      <formula>"REJECTED"</formula>
    </cfRule>
    <cfRule type="cellIs" dxfId="135" priority="154" operator="equal">
      <formula>"ACCEPTED"</formula>
    </cfRule>
  </conditionalFormatting>
  <conditionalFormatting sqref="O18:O19 O14 O16">
    <cfRule type="cellIs" dxfId="134" priority="155" operator="equal">
      <formula>"2. SHOULD"</formula>
    </cfRule>
    <cfRule type="cellIs" dxfId="133" priority="156" operator="equal">
      <formula>"3. N/A"</formula>
    </cfRule>
    <cfRule type="cellIs" dxfId="132" priority="157" operator="equal">
      <formula>"1. MUST"</formula>
    </cfRule>
  </conditionalFormatting>
  <conditionalFormatting sqref="P3">
    <cfRule type="cellIs" dxfId="131" priority="172" operator="equal">
      <formula>"N/A"</formula>
    </cfRule>
    <cfRule type="cellIs" dxfId="130" priority="173" operator="equal">
      <formula>"STUDY"</formula>
    </cfRule>
    <cfRule type="cellIs" dxfId="129" priority="174" operator="equal">
      <formula>"REJECTED"</formula>
    </cfRule>
    <cfRule type="cellIs" dxfId="128" priority="175" operator="equal">
      <formula>"ACCEPTED"</formula>
    </cfRule>
  </conditionalFormatting>
  <conditionalFormatting sqref="O3">
    <cfRule type="cellIs" dxfId="127" priority="176" operator="equal">
      <formula>"2. SHOULD"</formula>
    </cfRule>
    <cfRule type="cellIs" dxfId="126" priority="177" operator="equal">
      <formula>"3. N/A"</formula>
    </cfRule>
    <cfRule type="cellIs" dxfId="125" priority="178" operator="equal">
      <formula>"1. MUST"</formula>
    </cfRule>
  </conditionalFormatting>
  <conditionalFormatting sqref="P5">
    <cfRule type="cellIs" dxfId="124" priority="137" operator="equal">
      <formula>"N/A"</formula>
    </cfRule>
    <cfRule type="cellIs" dxfId="123" priority="138" operator="equal">
      <formula>"STUDY"</formula>
    </cfRule>
    <cfRule type="cellIs" dxfId="122" priority="139" operator="equal">
      <formula>"REJECTED"</formula>
    </cfRule>
    <cfRule type="cellIs" dxfId="121" priority="140" operator="equal">
      <formula>"ACCEPTED"</formula>
    </cfRule>
  </conditionalFormatting>
  <conditionalFormatting sqref="O5">
    <cfRule type="cellIs" dxfId="120" priority="141" operator="equal">
      <formula>"2. SHOULD"</formula>
    </cfRule>
    <cfRule type="cellIs" dxfId="119" priority="142" operator="equal">
      <formula>"3. N/A"</formula>
    </cfRule>
    <cfRule type="cellIs" dxfId="118" priority="143" operator="equal">
      <formula>"1. MUST"</formula>
    </cfRule>
  </conditionalFormatting>
  <conditionalFormatting sqref="P12">
    <cfRule type="cellIs" dxfId="117" priority="165" operator="equal">
      <formula>"N/A"</formula>
    </cfRule>
    <cfRule type="cellIs" dxfId="116" priority="166" operator="equal">
      <formula>"STUDY"</formula>
    </cfRule>
    <cfRule type="cellIs" dxfId="115" priority="167" operator="equal">
      <formula>"REJECTED"</formula>
    </cfRule>
    <cfRule type="cellIs" dxfId="114" priority="168" operator="equal">
      <formula>"ACCEPTED"</formula>
    </cfRule>
  </conditionalFormatting>
  <conditionalFormatting sqref="O12">
    <cfRule type="cellIs" dxfId="113" priority="169" operator="equal">
      <formula>"2. SHOULD"</formula>
    </cfRule>
    <cfRule type="cellIs" dxfId="112" priority="170" operator="equal">
      <formula>"3. N/A"</formula>
    </cfRule>
    <cfRule type="cellIs" dxfId="111" priority="171" operator="equal">
      <formula>"1. MUST"</formula>
    </cfRule>
  </conditionalFormatting>
  <conditionalFormatting sqref="P4">
    <cfRule type="cellIs" dxfId="110" priority="144" operator="equal">
      <formula>"N/A"</formula>
    </cfRule>
    <cfRule type="cellIs" dxfId="109" priority="145" operator="equal">
      <formula>"STUDY"</formula>
    </cfRule>
    <cfRule type="cellIs" dxfId="108" priority="146" operator="equal">
      <formula>"REJECTED"</formula>
    </cfRule>
    <cfRule type="cellIs" dxfId="107" priority="147" operator="equal">
      <formula>"ACCEPTED"</formula>
    </cfRule>
  </conditionalFormatting>
  <conditionalFormatting sqref="O4">
    <cfRule type="cellIs" dxfId="106" priority="148" operator="equal">
      <formula>"2. SHOULD"</formula>
    </cfRule>
    <cfRule type="cellIs" dxfId="105" priority="149" operator="equal">
      <formula>"3. N/A"</formula>
    </cfRule>
    <cfRule type="cellIs" dxfId="104" priority="150" operator="equal">
      <formula>"1. MUST"</formula>
    </cfRule>
  </conditionalFormatting>
  <conditionalFormatting sqref="P6:P7">
    <cfRule type="cellIs" dxfId="103" priority="130" operator="equal">
      <formula>"N/A"</formula>
    </cfRule>
    <cfRule type="cellIs" dxfId="102" priority="131" operator="equal">
      <formula>"STUDY"</formula>
    </cfRule>
    <cfRule type="cellIs" dxfId="101" priority="132" operator="equal">
      <formula>"REJECTED"</formula>
    </cfRule>
    <cfRule type="cellIs" dxfId="100" priority="133" operator="equal">
      <formula>"ACCEPTED"</formula>
    </cfRule>
  </conditionalFormatting>
  <conditionalFormatting sqref="O6:O7">
    <cfRule type="cellIs" dxfId="99" priority="134" operator="equal">
      <formula>"2. SHOULD"</formula>
    </cfRule>
    <cfRule type="cellIs" dxfId="98" priority="135" operator="equal">
      <formula>"3. N/A"</formula>
    </cfRule>
    <cfRule type="cellIs" dxfId="97" priority="136" operator="equal">
      <formula>"1. MUST"</formula>
    </cfRule>
  </conditionalFormatting>
  <conditionalFormatting sqref="P10">
    <cfRule type="cellIs" dxfId="96" priority="102" operator="equal">
      <formula>"N/A"</formula>
    </cfRule>
    <cfRule type="cellIs" dxfId="95" priority="103" operator="equal">
      <formula>"STUDY"</formula>
    </cfRule>
    <cfRule type="cellIs" dxfId="94" priority="104" operator="equal">
      <formula>"REJECTED"</formula>
    </cfRule>
    <cfRule type="cellIs" dxfId="93" priority="105" operator="equal">
      <formula>"ACCEPTED"</formula>
    </cfRule>
  </conditionalFormatting>
  <conditionalFormatting sqref="O10">
    <cfRule type="cellIs" dxfId="92" priority="106" operator="equal">
      <formula>"2. SHOULD"</formula>
    </cfRule>
    <cfRule type="cellIs" dxfId="91" priority="107" operator="equal">
      <formula>"3. N/A"</formula>
    </cfRule>
    <cfRule type="cellIs" dxfId="90" priority="108" operator="equal">
      <formula>"1. MUST"</formula>
    </cfRule>
  </conditionalFormatting>
  <conditionalFormatting sqref="P58:P65">
    <cfRule type="cellIs" dxfId="89" priority="88" operator="equal">
      <formula>"N/A"</formula>
    </cfRule>
    <cfRule type="cellIs" dxfId="88" priority="89" operator="equal">
      <formula>"STUDY"</formula>
    </cfRule>
    <cfRule type="cellIs" dxfId="87" priority="90" operator="equal">
      <formula>"REJECTED"</formula>
    </cfRule>
    <cfRule type="cellIs" dxfId="86" priority="91" operator="equal">
      <formula>"ACCEPTED"</formula>
    </cfRule>
  </conditionalFormatting>
  <conditionalFormatting sqref="O58 O64:O65">
    <cfRule type="cellIs" dxfId="85" priority="92" operator="equal">
      <formula>"2. SHOULD"</formula>
    </cfRule>
    <cfRule type="cellIs" dxfId="84" priority="93" operator="equal">
      <formula>"3. N/A"</formula>
    </cfRule>
    <cfRule type="cellIs" dxfId="83" priority="94" operator="equal">
      <formula>"1. MUST"</formula>
    </cfRule>
  </conditionalFormatting>
  <conditionalFormatting sqref="O59:O63">
    <cfRule type="cellIs" dxfId="82" priority="85" operator="equal">
      <formula>"2. SHOULD"</formula>
    </cfRule>
    <cfRule type="cellIs" dxfId="81" priority="86" operator="equal">
      <formula>"3. N/A"</formula>
    </cfRule>
    <cfRule type="cellIs" dxfId="80" priority="87" operator="equal">
      <formula>"1. MUST"</formula>
    </cfRule>
  </conditionalFormatting>
  <conditionalFormatting sqref="P8">
    <cfRule type="cellIs" dxfId="79" priority="78" operator="equal">
      <formula>"N/A"</formula>
    </cfRule>
    <cfRule type="cellIs" dxfId="78" priority="79" operator="equal">
      <formula>"STUDY"</formula>
    </cfRule>
    <cfRule type="cellIs" dxfId="77" priority="80" operator="equal">
      <formula>"REJECTED"</formula>
    </cfRule>
    <cfRule type="cellIs" dxfId="76" priority="81" operator="equal">
      <formula>"ACCEPTED"</formula>
    </cfRule>
  </conditionalFormatting>
  <conditionalFormatting sqref="O8">
    <cfRule type="cellIs" dxfId="75" priority="82" operator="equal">
      <formula>"2. SHOULD"</formula>
    </cfRule>
    <cfRule type="cellIs" dxfId="74" priority="83" operator="equal">
      <formula>"3. N/A"</formula>
    </cfRule>
    <cfRule type="cellIs" dxfId="73" priority="84" operator="equal">
      <formula>"1. MUST"</formula>
    </cfRule>
  </conditionalFormatting>
  <conditionalFormatting sqref="P9">
    <cfRule type="cellIs" dxfId="72" priority="71" operator="equal">
      <formula>"N/A"</formula>
    </cfRule>
    <cfRule type="cellIs" dxfId="71" priority="72" operator="equal">
      <formula>"STUDY"</formula>
    </cfRule>
    <cfRule type="cellIs" dxfId="70" priority="73" operator="equal">
      <formula>"REJECTED"</formula>
    </cfRule>
    <cfRule type="cellIs" dxfId="69" priority="74" operator="equal">
      <formula>"ACCEPTED"</formula>
    </cfRule>
  </conditionalFormatting>
  <conditionalFormatting sqref="O9">
    <cfRule type="cellIs" dxfId="68" priority="75" operator="equal">
      <formula>"2. SHOULD"</formula>
    </cfRule>
    <cfRule type="cellIs" dxfId="67" priority="76" operator="equal">
      <formula>"3. N/A"</formula>
    </cfRule>
    <cfRule type="cellIs" dxfId="66" priority="77" operator="equal">
      <formula>"1. MUST"</formula>
    </cfRule>
  </conditionalFormatting>
  <conditionalFormatting sqref="P15">
    <cfRule type="cellIs" dxfId="65" priority="64" operator="equal">
      <formula>"N/A"</formula>
    </cfRule>
    <cfRule type="cellIs" dxfId="64" priority="65" operator="equal">
      <formula>"STUDY"</formula>
    </cfRule>
    <cfRule type="cellIs" dxfId="63" priority="66" operator="equal">
      <formula>"REJECTED"</formula>
    </cfRule>
    <cfRule type="cellIs" dxfId="62" priority="67" operator="equal">
      <formula>"ACCEPTED"</formula>
    </cfRule>
  </conditionalFormatting>
  <conditionalFormatting sqref="O15">
    <cfRule type="cellIs" dxfId="61" priority="68" operator="equal">
      <formula>"2. SHOULD"</formula>
    </cfRule>
    <cfRule type="cellIs" dxfId="60" priority="69" operator="equal">
      <formula>"3. N/A"</formula>
    </cfRule>
    <cfRule type="cellIs" dxfId="59" priority="70" operator="equal">
      <formula>"1. MUST"</formula>
    </cfRule>
  </conditionalFormatting>
  <conditionalFormatting sqref="P22">
    <cfRule type="cellIs" dxfId="58" priority="57" operator="equal">
      <formula>"N/A"</formula>
    </cfRule>
    <cfRule type="cellIs" dxfId="57" priority="58" operator="equal">
      <formula>"STUDY"</formula>
    </cfRule>
    <cfRule type="cellIs" dxfId="56" priority="59" operator="equal">
      <formula>"REJECTED"</formula>
    </cfRule>
    <cfRule type="cellIs" dxfId="55" priority="60" operator="equal">
      <formula>"ACCEPTED"</formula>
    </cfRule>
  </conditionalFormatting>
  <conditionalFormatting sqref="O22">
    <cfRule type="cellIs" dxfId="54" priority="61" operator="equal">
      <formula>"2. SHOULD"</formula>
    </cfRule>
    <cfRule type="cellIs" dxfId="53" priority="62" operator="equal">
      <formula>"3. N/A"</formula>
    </cfRule>
    <cfRule type="cellIs" dxfId="52" priority="63" operator="equal">
      <formula>"1. MUST"</formula>
    </cfRule>
  </conditionalFormatting>
  <conditionalFormatting sqref="P46:P49 P51 P55:P56">
    <cfRule type="cellIs" dxfId="51" priority="43" operator="equal">
      <formula>"N/A"</formula>
    </cfRule>
    <cfRule type="cellIs" dxfId="50" priority="44" operator="equal">
      <formula>"STUDY"</formula>
    </cfRule>
    <cfRule type="cellIs" dxfId="49" priority="45" operator="equal">
      <formula>"REJECTED"</formula>
    </cfRule>
    <cfRule type="cellIs" dxfId="48" priority="46" operator="equal">
      <formula>"ACCEPTED"</formula>
    </cfRule>
  </conditionalFormatting>
  <conditionalFormatting sqref="O46:O49 O51 O55:O56">
    <cfRule type="cellIs" dxfId="47" priority="47" operator="equal">
      <formula>"2. SHOULD"</formula>
    </cfRule>
    <cfRule type="cellIs" dxfId="46" priority="48" operator="equal">
      <formula>"3. N/A"</formula>
    </cfRule>
    <cfRule type="cellIs" dxfId="45" priority="49" operator="equal">
      <formula>"1. MUST"</formula>
    </cfRule>
  </conditionalFormatting>
  <conditionalFormatting sqref="P13">
    <cfRule type="cellIs" dxfId="44" priority="36" operator="equal">
      <formula>"N/A"</formula>
    </cfRule>
    <cfRule type="cellIs" dxfId="43" priority="37" operator="equal">
      <formula>"STUDY"</formula>
    </cfRule>
    <cfRule type="cellIs" dxfId="42" priority="38" operator="equal">
      <formula>"REJECTED"</formula>
    </cfRule>
    <cfRule type="cellIs" dxfId="41" priority="39" operator="equal">
      <formula>"ACCEPTED"</formula>
    </cfRule>
  </conditionalFormatting>
  <conditionalFormatting sqref="O13">
    <cfRule type="cellIs" dxfId="40" priority="40" operator="equal">
      <formula>"2. SHOULD"</formula>
    </cfRule>
    <cfRule type="cellIs" dxfId="39" priority="41" operator="equal">
      <formula>"3. N/A"</formula>
    </cfRule>
    <cfRule type="cellIs" dxfId="38" priority="42" operator="equal">
      <formula>"1. MUST"</formula>
    </cfRule>
  </conditionalFormatting>
  <conditionalFormatting sqref="P17">
    <cfRule type="cellIs" dxfId="37" priority="29" operator="equal">
      <formula>"N/A"</formula>
    </cfRule>
    <cfRule type="cellIs" dxfId="36" priority="30" operator="equal">
      <formula>"STUDY"</formula>
    </cfRule>
    <cfRule type="cellIs" dxfId="35" priority="31" operator="equal">
      <formula>"REJECTED"</formula>
    </cfRule>
    <cfRule type="cellIs" dxfId="34" priority="32" operator="equal">
      <formula>"ACCEPTED"</formula>
    </cfRule>
  </conditionalFormatting>
  <conditionalFormatting sqref="O17">
    <cfRule type="cellIs" dxfId="33" priority="33" operator="equal">
      <formula>"2. SHOULD"</formula>
    </cfRule>
    <cfRule type="cellIs" dxfId="32" priority="34" operator="equal">
      <formula>"3. N/A"</formula>
    </cfRule>
    <cfRule type="cellIs" dxfId="31" priority="35" operator="equal">
      <formula>"1. MUST"</formula>
    </cfRule>
  </conditionalFormatting>
  <conditionalFormatting sqref="P20">
    <cfRule type="cellIs" dxfId="30" priority="15" operator="equal">
      <formula>"N/A"</formula>
    </cfRule>
    <cfRule type="cellIs" dxfId="29" priority="16" operator="equal">
      <formula>"STUDY"</formula>
    </cfRule>
    <cfRule type="cellIs" dxfId="28" priority="17" operator="equal">
      <formula>"REJECTED"</formula>
    </cfRule>
    <cfRule type="cellIs" dxfId="27" priority="18" operator="equal">
      <formula>"ACCEPTED"</formula>
    </cfRule>
  </conditionalFormatting>
  <conditionalFormatting sqref="O20">
    <cfRule type="cellIs" dxfId="26" priority="19" operator="equal">
      <formula>"2. SHOULD"</formula>
    </cfRule>
    <cfRule type="cellIs" dxfId="25" priority="20" operator="equal">
      <formula>"3. N/A"</formula>
    </cfRule>
    <cfRule type="cellIs" dxfId="24" priority="21" operator="equal">
      <formula>"1. MUST"</formula>
    </cfRule>
  </conditionalFormatting>
  <conditionalFormatting sqref="P39">
    <cfRule type="cellIs" dxfId="23" priority="8" operator="equal">
      <formula>"N/A"</formula>
    </cfRule>
    <cfRule type="cellIs" dxfId="22" priority="9" operator="equal">
      <formula>"STUDY"</formula>
    </cfRule>
    <cfRule type="cellIs" dxfId="21" priority="10" operator="equal">
      <formula>"REJECTED"</formula>
    </cfRule>
    <cfRule type="cellIs" dxfId="20" priority="11" operator="equal">
      <formula>"ACCEPTED"</formula>
    </cfRule>
  </conditionalFormatting>
  <conditionalFormatting sqref="O39">
    <cfRule type="cellIs" dxfId="19" priority="12" operator="equal">
      <formula>"2. SHOULD"</formula>
    </cfRule>
    <cfRule type="cellIs" dxfId="18" priority="13" operator="equal">
      <formula>"3. N/A"</formula>
    </cfRule>
    <cfRule type="cellIs" dxfId="17" priority="14" operator="equal">
      <formula>"1. MUST"</formula>
    </cfRule>
  </conditionalFormatting>
  <conditionalFormatting sqref="P28">
    <cfRule type="cellIs" dxfId="16" priority="1" operator="equal">
      <formula>"N/A"</formula>
    </cfRule>
    <cfRule type="cellIs" dxfId="15" priority="2" operator="equal">
      <formula>"STUDY"</formula>
    </cfRule>
    <cfRule type="cellIs" dxfId="14" priority="3" operator="equal">
      <formula>"REJECTED"</formula>
    </cfRule>
    <cfRule type="cellIs" dxfId="13" priority="4" operator="equal">
      <formula>"ACCEPTED"</formula>
    </cfRule>
  </conditionalFormatting>
  <conditionalFormatting sqref="O28">
    <cfRule type="cellIs" dxfId="12" priority="5" operator="equal">
      <formula>"2. SHOULD"</formula>
    </cfRule>
    <cfRule type="cellIs" dxfId="11" priority="6" operator="equal">
      <formula>"3. N/A"</formula>
    </cfRule>
    <cfRule type="cellIs" dxfId="10" priority="7" operator="equal">
      <formula>"1. MUST"</formula>
    </cfRule>
  </conditionalFormatting>
  <dataValidations count="5">
    <dataValidation type="list" allowBlank="1" showErrorMessage="1" sqref="K3:K77 I3:I77 G3:G77 M3:M77 O3:O77" xr:uid="{00000000-0002-0000-0100-000000000000}">
      <formula1>PRIORITY</formula1>
    </dataValidation>
    <dataValidation type="list" allowBlank="1" showInputMessage="1" showErrorMessage="1" sqref="J3:J77 Z3:Z77 V3:V77 T3:T77 X3:X77 R3:R77 N3:N77 H3:H77 L3:L77 P3:P77" xr:uid="{00000000-0002-0000-0100-000001000000}">
      <formula1>STATUS</formula1>
    </dataValidation>
    <dataValidation type="list" allowBlank="1" showInputMessage="1" showErrorMessage="1" sqref="D3:D77" xr:uid="{00000000-0002-0000-0100-000002000000}">
      <formula1>CATEGORY</formula1>
    </dataValidation>
    <dataValidation type="list" allowBlank="1" showInputMessage="1" showErrorMessage="1" sqref="AC3:AC77" xr:uid="{00000000-0002-0000-0100-000003000000}">
      <formula1>"Yes,No"</formula1>
    </dataValidation>
    <dataValidation type="list" allowBlank="1" showInputMessage="1" showErrorMessage="1" sqref="W3:W77 Q3:Q77 S3:S77 Y3:Y77 U3:U77" xr:uid="{00000000-0002-0000-0100-000004000000}">
      <formula1>PRIORITY</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Feuil6"/>
  <dimension ref="A1:AW186"/>
  <sheetViews>
    <sheetView topLeftCell="A4" zoomScale="85" zoomScaleNormal="85" zoomScalePageLayoutView="85" workbookViewId="0">
      <selection activeCell="A13" sqref="A13"/>
    </sheetView>
  </sheetViews>
  <sheetFormatPr defaultColWidth="11.42578125" defaultRowHeight="15"/>
  <cols>
    <col min="1" max="1" width="11.42578125" style="121"/>
    <col min="2" max="2" width="12.42578125" style="121" customWidth="1"/>
    <col min="3" max="7" width="11.42578125" style="121"/>
    <col min="8" max="8" width="20" style="121" customWidth="1"/>
    <col min="9" max="9" width="28.42578125" style="121" customWidth="1"/>
    <col min="10" max="10" width="30.28515625" style="121" customWidth="1"/>
    <col min="11" max="11" width="23.140625" style="121" customWidth="1"/>
    <col min="12" max="12" width="11.42578125" style="121" customWidth="1"/>
    <col min="13" max="13" width="13.140625" style="121" customWidth="1"/>
    <col min="14" max="14" width="11.42578125" style="121" customWidth="1"/>
    <col min="15" max="16384" width="11.42578125" style="121"/>
  </cols>
  <sheetData>
    <row r="1" spans="1:49">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row>
    <row r="2" spans="1:49">
      <c r="A2" s="34"/>
      <c r="B2" s="34" t="s">
        <v>97</v>
      </c>
      <c r="C2" s="34"/>
      <c r="D2" s="34"/>
      <c r="E2" s="34"/>
      <c r="F2" s="34"/>
      <c r="G2" s="34"/>
      <c r="H2" s="34" t="s">
        <v>96</v>
      </c>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row>
    <row r="3" spans="1:49">
      <c r="A3" s="34"/>
      <c r="B3" s="34"/>
      <c r="C3" s="34"/>
      <c r="D3" s="34"/>
      <c r="E3" s="34"/>
      <c r="F3" s="34"/>
      <c r="G3" s="34"/>
      <c r="H3" s="34"/>
      <c r="I3" s="34"/>
      <c r="J3" s="34"/>
      <c r="K3" s="34"/>
      <c r="L3" s="191" t="s">
        <v>145</v>
      </c>
      <c r="M3" s="191"/>
      <c r="N3" s="34"/>
      <c r="O3" s="191" t="str">
        <f>CONCATENATE(LEFT(Requirements!H2,LEN(Requirements!H2)-7)," (MUST only)")</f>
        <v>AR Series (MUST only)</v>
      </c>
      <c r="P3" s="191"/>
      <c r="Q3" s="34"/>
      <c r="R3" s="191" t="str">
        <f>CONCATENATE(LEFT(Requirements!J2,LEN(Requirements!J2)-7)," (MUST only)")</f>
        <v>WP Series (MUST only)</v>
      </c>
      <c r="S3" s="191"/>
      <c r="T3" s="34"/>
      <c r="U3" s="191" t="str">
        <f>CONCATENATE(LEFT(Requirements!L2,LEN(Requirements!L2)-7)," (MUST only)")</f>
        <v>HL Series (MUST only)</v>
      </c>
      <c r="V3" s="191"/>
      <c r="W3" s="34"/>
      <c r="X3" s="191" t="str">
        <f>CONCATENATE(LEFT(Requirements!N2,LEN(Requirements!N2)-7)," (MUST only)")</f>
        <v>EM/MC Series (MUST only)</v>
      </c>
      <c r="Y3" s="191"/>
      <c r="Z3" s="34"/>
      <c r="AA3" s="191" t="str">
        <f>CONCATENATE(LEFT(Requirements!P2,LEN(Requirements!P2)-7)," (MUST only)")</f>
        <v>HL7800 (Phase 1) (MUST only)</v>
      </c>
      <c r="AB3" s="191"/>
      <c r="AC3" s="34"/>
      <c r="AD3" s="191" t="str">
        <f>CONCATENATE(LEFT(Requirements!R2,LEN(Requirements!R2)-7)," (MUST only)")</f>
        <v>Product06 (MUST only)</v>
      </c>
      <c r="AE3" s="191"/>
      <c r="AF3" s="34"/>
      <c r="AG3" s="191" t="str">
        <f>CONCATENATE(LEFT(Requirements!T2,LEN(Requirements!T2)-7)," (MUST only)")</f>
        <v>Product07 (MUST only)</v>
      </c>
      <c r="AH3" s="191"/>
      <c r="AI3" s="34"/>
      <c r="AJ3" s="191" t="str">
        <f>CONCATENATE(LEFT(Requirements!V2,LEN(Requirements!V2)-7)," (MUST only)")</f>
        <v>Product08 (MUST only)</v>
      </c>
      <c r="AK3" s="191"/>
      <c r="AL3" s="34"/>
      <c r="AM3" s="191" t="str">
        <f>CONCATENATE(LEFT(Requirements!X2,LEN(Requirements!X2)-7)," (MUST only)")</f>
        <v>Product09 (MUST only)</v>
      </c>
      <c r="AN3" s="191"/>
      <c r="AO3" s="34"/>
      <c r="AP3" s="191" t="str">
        <f>CONCATENATE(LEFT(Requirements!Z2,LEN(Requirements!Z2)-7)," (MUST only)")</f>
        <v>Product10 (MUST only)</v>
      </c>
      <c r="AQ3" s="191"/>
      <c r="AR3" s="34"/>
      <c r="AS3" s="34"/>
      <c r="AT3" s="34"/>
      <c r="AU3" s="34"/>
      <c r="AV3" s="34"/>
      <c r="AW3" s="34"/>
    </row>
    <row r="4" spans="1:49">
      <c r="A4" s="34"/>
      <c r="B4" s="34"/>
      <c r="C4" s="34"/>
      <c r="D4" s="34"/>
      <c r="E4" s="34"/>
      <c r="F4" s="34"/>
      <c r="G4" s="34"/>
      <c r="H4" s="34"/>
      <c r="I4" s="34"/>
      <c r="J4" s="34"/>
      <c r="K4" s="34"/>
      <c r="L4" s="34" t="s">
        <v>4</v>
      </c>
      <c r="M4" s="34">
        <f t="shared" ref="M4:M10" si="0">P4+S4+V4+Y4</f>
        <v>158</v>
      </c>
      <c r="N4" s="34"/>
      <c r="O4" s="34" t="s">
        <v>4</v>
      </c>
      <c r="P4" s="34">
        <f>COUNTIFS(Requirements!G:G,"1. MUST",Requirements!H:H,"ACCEPTED",Requirements!AC:AC,"No")</f>
        <v>48</v>
      </c>
      <c r="Q4" s="34"/>
      <c r="R4" s="34" t="s">
        <v>4</v>
      </c>
      <c r="S4" s="34">
        <f>COUNTIFS(Requirements!I:I,"1. MUST",Requirements!J:J,"ACCEPTED",Requirements!AC:AC,"No")</f>
        <v>48</v>
      </c>
      <c r="T4" s="34"/>
      <c r="U4" s="34" t="s">
        <v>4</v>
      </c>
      <c r="V4" s="34">
        <f>COUNTIFS(Requirements!K:K,"1. MUST",Requirements!L:L,"ACCEPTED",Requirements!AC:AC,"No")</f>
        <v>38</v>
      </c>
      <c r="W4" s="34"/>
      <c r="X4" s="34" t="s">
        <v>4</v>
      </c>
      <c r="Y4" s="34">
        <f>COUNTIFS(Requirements!M:M,"1. MUST",Requirements!N:N,"ACCEPTED",Requirements!AC:AC,"No")</f>
        <v>24</v>
      </c>
      <c r="Z4" s="34"/>
      <c r="AA4" s="34" t="s">
        <v>4</v>
      </c>
      <c r="AB4" s="34">
        <f>COUNTIFS(Requirements!O:O,"1. MUST",Requirements!P:P,"ACCEPTED",Requirements!AC:AC,"No")</f>
        <v>25</v>
      </c>
      <c r="AC4" s="34"/>
      <c r="AD4" s="34" t="s">
        <v>4</v>
      </c>
      <c r="AE4" s="34">
        <f>COUNTIFS(Requirements!Q:Q,"1. MUST",Requirements!R:R,"ACCEPTED",Requirements!AC:AC,"No")</f>
        <v>0</v>
      </c>
      <c r="AF4" s="34"/>
      <c r="AG4" s="34" t="s">
        <v>4</v>
      </c>
      <c r="AH4" s="34">
        <f>COUNTIFS(Requirements!S:S,"1. MUST",Requirements!T:T,"ACCEPTED",Requirements!AC:AC,"No")</f>
        <v>0</v>
      </c>
      <c r="AI4" s="34"/>
      <c r="AJ4" s="34" t="s">
        <v>4</v>
      </c>
      <c r="AK4" s="34">
        <f>COUNTIFS(Requirements!U:U,"1. MUST",Requirements!V:V,"ACCEPTED",Requirements!AC:AC,"No")</f>
        <v>0</v>
      </c>
      <c r="AL4" s="34"/>
      <c r="AM4" s="34" t="s">
        <v>4</v>
      </c>
      <c r="AN4" s="34">
        <f>COUNTIFS(Requirements!W:W,"1. MUST",Requirements!X:X,"ACCEPTED",Requirements!AC:AC,"No")</f>
        <v>0</v>
      </c>
      <c r="AO4" s="34"/>
      <c r="AP4" s="34" t="s">
        <v>4</v>
      </c>
      <c r="AQ4" s="34">
        <f>COUNTIFS(Requirements!Y:Y,"1. MUST",Requirements!Z:Z,"ACCEPTED",Requirements!AC:AC,"No")</f>
        <v>0</v>
      </c>
      <c r="AR4" s="34"/>
      <c r="AS4" s="34"/>
      <c r="AT4" s="34"/>
      <c r="AU4" s="34"/>
      <c r="AV4" s="34"/>
      <c r="AW4" s="34"/>
    </row>
    <row r="5" spans="1:49">
      <c r="A5" s="34"/>
      <c r="B5" s="34"/>
      <c r="C5" s="34"/>
      <c r="D5" s="34"/>
      <c r="E5" s="34"/>
      <c r="F5" s="34"/>
      <c r="G5" s="34"/>
      <c r="H5" s="34"/>
      <c r="I5" s="34"/>
      <c r="J5" s="34"/>
      <c r="K5" s="34"/>
      <c r="L5" s="34" t="s">
        <v>6</v>
      </c>
      <c r="M5" s="34">
        <f t="shared" si="0"/>
        <v>0</v>
      </c>
      <c r="N5" s="34"/>
      <c r="O5" s="34" t="s">
        <v>6</v>
      </c>
      <c r="P5" s="34">
        <f>COUNTIFS(Requirements!G:G,"1. MUST",Requirements!H:H,"ACCEPTED",Requirements!AC:AC,"Yes")</f>
        <v>0</v>
      </c>
      <c r="Q5" s="34"/>
      <c r="R5" s="34" t="s">
        <v>6</v>
      </c>
      <c r="S5" s="34">
        <f>COUNTIFS(Requirements!I:I,"1. MUST",Requirements!J:J,"ACCEPTED",Requirements!AC:AC,"Yes")</f>
        <v>0</v>
      </c>
      <c r="T5" s="34"/>
      <c r="U5" s="34" t="s">
        <v>6</v>
      </c>
      <c r="V5" s="34">
        <f>COUNTIFS(Requirements!K:K,"1. MUST",Requirements!L:L,"ACCEPTED",Requirements!AC:AC,"Yes")</f>
        <v>0</v>
      </c>
      <c r="W5" s="34"/>
      <c r="X5" s="34" t="s">
        <v>6</v>
      </c>
      <c r="Y5" s="34">
        <f>COUNTIFS(Requirements!M:M,"1. MUST",Requirements!N:N,"ACCEPTED",Requirements!AC:AC,"Yes")</f>
        <v>0</v>
      </c>
      <c r="Z5" s="34"/>
      <c r="AA5" s="34" t="s">
        <v>6</v>
      </c>
      <c r="AB5" s="34">
        <f>COUNTIFS(Requirements!O:O,"1. MUST",Requirements!P:P,"ACCEPTED",Requirements!AC:AC,"Yes")</f>
        <v>0</v>
      </c>
      <c r="AC5" s="34"/>
      <c r="AD5" s="34" t="s">
        <v>6</v>
      </c>
      <c r="AE5" s="34">
        <f>COUNTIFS(Requirements!Q:Q,"1. MUST",Requirements!R:R,"ACCEPTED",Requirements!AC:AC,"Yes")</f>
        <v>0</v>
      </c>
      <c r="AF5" s="34"/>
      <c r="AG5" s="34" t="s">
        <v>6</v>
      </c>
      <c r="AH5" s="34">
        <f>COUNTIFS(Requirements!S:S,"1. MUST",Requirements!T:T,"ACCEPTED",Requirements!AC:AC,"Yes")</f>
        <v>0</v>
      </c>
      <c r="AI5" s="34"/>
      <c r="AJ5" s="34" t="s">
        <v>6</v>
      </c>
      <c r="AK5" s="34">
        <f>COUNTIFS(Requirements!U:U,"1. MUST",Requirements!V:V,"ACCEPTED",Requirements!AC:AC,"Yes")</f>
        <v>0</v>
      </c>
      <c r="AL5" s="34"/>
      <c r="AM5" s="34" t="s">
        <v>6</v>
      </c>
      <c r="AN5" s="34">
        <f>COUNTIFS(Requirements!W:W,"1. MUST",Requirements!X:X,"ACCEPTED",Requirements!AC:AC,"Yes")</f>
        <v>0</v>
      </c>
      <c r="AO5" s="34"/>
      <c r="AP5" s="34" t="s">
        <v>6</v>
      </c>
      <c r="AQ5" s="34">
        <f>COUNTIFS(Requirements!Y:Y,"1. MUST",Requirements!Z:Z,"ACCEPTED",Requirements!AC:AC,"Yes")</f>
        <v>0</v>
      </c>
      <c r="AR5" s="34"/>
      <c r="AS5" s="34"/>
      <c r="AT5" s="34"/>
      <c r="AU5" s="34"/>
      <c r="AV5" s="34"/>
      <c r="AW5" s="34"/>
    </row>
    <row r="6" spans="1:49">
      <c r="A6" s="34"/>
      <c r="B6" s="34"/>
      <c r="C6" s="34"/>
      <c r="D6" s="34"/>
      <c r="E6" s="34"/>
      <c r="F6" s="34"/>
      <c r="G6" s="34"/>
      <c r="H6" s="34"/>
      <c r="I6" s="34"/>
      <c r="J6" s="34"/>
      <c r="K6" s="34"/>
      <c r="L6" s="34" t="s">
        <v>4</v>
      </c>
      <c r="M6" s="34">
        <f t="shared" si="0"/>
        <v>158</v>
      </c>
      <c r="N6" s="34"/>
      <c r="O6" s="34" t="s">
        <v>4</v>
      </c>
      <c r="P6" s="34">
        <f>SUM(P4:P5)</f>
        <v>48</v>
      </c>
      <c r="Q6" s="34"/>
      <c r="R6" s="34" t="s">
        <v>4</v>
      </c>
      <c r="S6" s="34">
        <f>SUM(S4:S5)</f>
        <v>48</v>
      </c>
      <c r="T6" s="34"/>
      <c r="U6" s="34" t="s">
        <v>4</v>
      </c>
      <c r="V6" s="34">
        <f>SUM(V4:V5)</f>
        <v>38</v>
      </c>
      <c r="W6" s="34"/>
      <c r="X6" s="34" t="s">
        <v>4</v>
      </c>
      <c r="Y6" s="34">
        <f>SUM(Y4:Y5)</f>
        <v>24</v>
      </c>
      <c r="Z6" s="34"/>
      <c r="AA6" s="34" t="s">
        <v>4</v>
      </c>
      <c r="AB6" s="34">
        <f>SUM(AB4:AB5)</f>
        <v>25</v>
      </c>
      <c r="AC6" s="34"/>
      <c r="AD6" s="34" t="s">
        <v>4</v>
      </c>
      <c r="AE6" s="34">
        <f>SUM(AE4:AE5)</f>
        <v>0</v>
      </c>
      <c r="AF6" s="34"/>
      <c r="AG6" s="34" t="s">
        <v>4</v>
      </c>
      <c r="AH6" s="34">
        <f>SUM(AH4:AH5)</f>
        <v>0</v>
      </c>
      <c r="AI6" s="34"/>
      <c r="AJ6" s="34" t="s">
        <v>4</v>
      </c>
      <c r="AK6" s="34">
        <f>SUM(AK4:AK5)</f>
        <v>0</v>
      </c>
      <c r="AL6" s="34"/>
      <c r="AM6" s="34" t="s">
        <v>4</v>
      </c>
      <c r="AN6" s="34">
        <f>SUM(AN4:AN5)</f>
        <v>0</v>
      </c>
      <c r="AO6" s="34"/>
      <c r="AP6" s="34" t="s">
        <v>4</v>
      </c>
      <c r="AQ6" s="34">
        <f>SUM(AQ4:AQ5)</f>
        <v>0</v>
      </c>
      <c r="AR6" s="34"/>
      <c r="AS6" s="34"/>
      <c r="AT6" s="34"/>
      <c r="AU6" s="34"/>
      <c r="AV6" s="34"/>
      <c r="AW6" s="34"/>
    </row>
    <row r="7" spans="1:49">
      <c r="A7" s="34"/>
      <c r="B7" s="34"/>
      <c r="C7" s="34"/>
      <c r="D7" s="34"/>
      <c r="E7" s="34"/>
      <c r="F7" s="34"/>
      <c r="G7" s="34"/>
      <c r="H7" s="34"/>
      <c r="I7" s="34"/>
      <c r="J7" s="34"/>
      <c r="K7" s="34"/>
      <c r="L7" s="34" t="s">
        <v>5</v>
      </c>
      <c r="M7" s="34">
        <f t="shared" si="0"/>
        <v>1</v>
      </c>
      <c r="N7" s="34"/>
      <c r="O7" s="34" t="s">
        <v>5</v>
      </c>
      <c r="P7" s="34">
        <f>COUNTIFS(Requirements!G:G,"1. MUST",Requirements!H:H,"REJECTED")</f>
        <v>0</v>
      </c>
      <c r="Q7" s="34"/>
      <c r="R7" s="34" t="s">
        <v>5</v>
      </c>
      <c r="S7" s="34">
        <f>COUNTIFS(Requirements!I:I,"1. MUST",Requirements!J:J,"REJECTED")</f>
        <v>0</v>
      </c>
      <c r="T7" s="34"/>
      <c r="U7" s="34" t="s">
        <v>5</v>
      </c>
      <c r="V7" s="34">
        <f>COUNTIFS(Requirements!K:K,"1. MUST",Requirements!L:L,"REJECTED")</f>
        <v>1</v>
      </c>
      <c r="W7" s="34"/>
      <c r="X7" s="34" t="s">
        <v>5</v>
      </c>
      <c r="Y7" s="34">
        <f>COUNTIFS(Requirements!M:M,"1. MUST",Requirements!N:N,"REJECTED")</f>
        <v>0</v>
      </c>
      <c r="Z7" s="34"/>
      <c r="AA7" s="34" t="s">
        <v>5</v>
      </c>
      <c r="AB7" s="34">
        <f>COUNTIFS(Requirements!O:O,"1. MUST",Requirements!P:P,"REJECTED")</f>
        <v>1</v>
      </c>
      <c r="AC7" s="34"/>
      <c r="AD7" s="34" t="s">
        <v>5</v>
      </c>
      <c r="AE7" s="34">
        <f>COUNTIFS(Requirements!Q:Q,"1. MUST",Requirements!R:R,"REJECTED")</f>
        <v>0</v>
      </c>
      <c r="AF7" s="34"/>
      <c r="AG7" s="34" t="s">
        <v>5</v>
      </c>
      <c r="AH7" s="34">
        <f>COUNTIFS(Requirements!S:S,"1. MUST",Requirements!T:T,"REJECTED")</f>
        <v>0</v>
      </c>
      <c r="AI7" s="34"/>
      <c r="AJ7" s="34" t="s">
        <v>5</v>
      </c>
      <c r="AK7" s="34">
        <f>COUNTIFS(Requirements!U:U,"1. MUST",Requirements!V:V,"REJECTED")</f>
        <v>0</v>
      </c>
      <c r="AL7" s="34"/>
      <c r="AM7" s="34" t="s">
        <v>5</v>
      </c>
      <c r="AN7" s="34">
        <f>COUNTIFS(Requirements!W:W,"1. MUST",Requirements!X:X,"REJECTED")</f>
        <v>0</v>
      </c>
      <c r="AO7" s="34"/>
      <c r="AP7" s="34" t="s">
        <v>5</v>
      </c>
      <c r="AQ7" s="34">
        <f>COUNTIFS(Requirements!Y:Y,"1. MUST",Requirements!Z:Z,"REJECTED")</f>
        <v>0</v>
      </c>
      <c r="AR7" s="34"/>
      <c r="AS7" s="34"/>
      <c r="AT7" s="34"/>
      <c r="AU7" s="34"/>
      <c r="AV7" s="34"/>
      <c r="AW7" s="34"/>
    </row>
    <row r="8" spans="1:49">
      <c r="A8" s="34"/>
      <c r="B8" s="34"/>
      <c r="C8" s="34"/>
      <c r="D8" s="34"/>
      <c r="E8" s="34"/>
      <c r="F8" s="34"/>
      <c r="G8" s="34"/>
      <c r="H8" s="34"/>
      <c r="I8" s="34"/>
      <c r="J8" s="34"/>
      <c r="K8" s="34"/>
      <c r="L8" s="34" t="s">
        <v>159</v>
      </c>
      <c r="M8" s="34">
        <f t="shared" si="0"/>
        <v>0</v>
      </c>
      <c r="N8" s="34"/>
      <c r="O8" s="34" t="s">
        <v>159</v>
      </c>
      <c r="P8" s="34">
        <f>COUNTIFS(Requirements!G:G,"1. MUST",Requirements!H:H,"STUDY")</f>
        <v>0</v>
      </c>
      <c r="Q8" s="34"/>
      <c r="R8" s="34" t="s">
        <v>159</v>
      </c>
      <c r="S8" s="34">
        <f>COUNTIFS(Requirements!I:I,"1. MUST",Requirements!J:J,"STUDY")</f>
        <v>0</v>
      </c>
      <c r="T8" s="34"/>
      <c r="U8" s="34" t="s">
        <v>159</v>
      </c>
      <c r="V8" s="34">
        <f>COUNTIFS(Requirements!K:K,"1. MUST",Requirements!L:L,"STUDY")</f>
        <v>0</v>
      </c>
      <c r="W8" s="34"/>
      <c r="X8" s="34" t="s">
        <v>159</v>
      </c>
      <c r="Y8" s="34">
        <f>COUNTIFS(Requirements!M:M,"1. MUST",Requirements!N:N,"STUDY")</f>
        <v>0</v>
      </c>
      <c r="Z8" s="34"/>
      <c r="AA8" s="34" t="s">
        <v>159</v>
      </c>
      <c r="AB8" s="34">
        <f>COUNTIFS(Requirements!O:O,"1. MUST",Requirements!P:P,"STUDY")</f>
        <v>0</v>
      </c>
      <c r="AC8" s="34"/>
      <c r="AD8" s="34" t="s">
        <v>159</v>
      </c>
      <c r="AE8" s="34">
        <f>COUNTIFS(Requirements!Q:Q,"1. MUST",Requirements!R:R,"STUDY")</f>
        <v>0</v>
      </c>
      <c r="AF8" s="34"/>
      <c r="AG8" s="34" t="s">
        <v>159</v>
      </c>
      <c r="AH8" s="34">
        <f>COUNTIFS(Requirements!S:S,"1. MUST",Requirements!T:T,"STUDY")</f>
        <v>0</v>
      </c>
      <c r="AI8" s="34"/>
      <c r="AJ8" s="34" t="s">
        <v>159</v>
      </c>
      <c r="AK8" s="34">
        <f>COUNTIFS(Requirements!U:U,"1. MUST",Requirements!V:V,"STUDY")</f>
        <v>0</v>
      </c>
      <c r="AL8" s="34"/>
      <c r="AM8" s="34" t="s">
        <v>159</v>
      </c>
      <c r="AN8" s="34">
        <f>COUNTIFS(Requirements!W:W,"1. MUST",Requirements!X:X,"STUDY")</f>
        <v>0</v>
      </c>
      <c r="AO8" s="34"/>
      <c r="AP8" s="34" t="s">
        <v>159</v>
      </c>
      <c r="AQ8" s="34">
        <f>COUNTIFS(Requirements!Y:Y,"1. MUST",Requirements!Z:Z,"STUDY")</f>
        <v>0</v>
      </c>
      <c r="AR8" s="34"/>
      <c r="AS8" s="34"/>
      <c r="AT8" s="34"/>
      <c r="AU8" s="34"/>
      <c r="AV8" s="34"/>
      <c r="AW8" s="34"/>
    </row>
    <row r="9" spans="1:49">
      <c r="A9" s="34"/>
      <c r="B9" s="34"/>
      <c r="C9" s="34"/>
      <c r="D9" s="34"/>
      <c r="E9" s="34"/>
      <c r="F9" s="34"/>
      <c r="G9" s="34"/>
      <c r="H9" s="34"/>
      <c r="I9" s="34"/>
      <c r="J9" s="34"/>
      <c r="K9" s="34"/>
      <c r="L9" s="34" t="s">
        <v>25</v>
      </c>
      <c r="M9" s="34">
        <f t="shared" si="0"/>
        <v>0</v>
      </c>
      <c r="N9" s="34"/>
      <c r="O9" s="34" t="s">
        <v>25</v>
      </c>
      <c r="P9" s="34">
        <f>COUNTIFS(Requirements!G:G,"1. MUST",Requirements!H:H,"PENDING")</f>
        <v>0</v>
      </c>
      <c r="Q9" s="34"/>
      <c r="R9" s="34" t="s">
        <v>25</v>
      </c>
      <c r="S9" s="34">
        <f>COUNTIFS(Requirements!I:I,"1. MUST",Requirements!J:J,"PENDING")</f>
        <v>0</v>
      </c>
      <c r="T9" s="34"/>
      <c r="U9" s="34" t="s">
        <v>25</v>
      </c>
      <c r="V9" s="34">
        <f>COUNTIFS(Requirements!K:K,"1. MUST",Requirements!L:L,"PENDING")</f>
        <v>0</v>
      </c>
      <c r="W9" s="34"/>
      <c r="X9" s="34" t="s">
        <v>25</v>
      </c>
      <c r="Y9" s="34">
        <f>COUNTIFS(Requirements!M:M,"1. MUST",Requirements!N:N,"PENDING")</f>
        <v>0</v>
      </c>
      <c r="Z9" s="34"/>
      <c r="AA9" s="34" t="s">
        <v>25</v>
      </c>
      <c r="AB9" s="34">
        <f>COUNTIFS(Requirements!O:O,"1. MUST",Requirements!P:P,"PENDING")</f>
        <v>0</v>
      </c>
      <c r="AC9" s="34"/>
      <c r="AD9" s="34" t="s">
        <v>25</v>
      </c>
      <c r="AE9" s="34">
        <f>COUNTIFS(Requirements!Q:Q,"1. MUST",Requirements!R:R,"PENDING")</f>
        <v>0</v>
      </c>
      <c r="AF9" s="34"/>
      <c r="AG9" s="34" t="s">
        <v>25</v>
      </c>
      <c r="AH9" s="34">
        <f>COUNTIFS(Requirements!S:S,"1. MUST",Requirements!T:T,"PENDING")</f>
        <v>0</v>
      </c>
      <c r="AI9" s="34"/>
      <c r="AJ9" s="34" t="s">
        <v>25</v>
      </c>
      <c r="AK9" s="34">
        <f>COUNTIFS(Requirements!U:U,"1. MUST",Requirements!V:V,"PENDING")</f>
        <v>0</v>
      </c>
      <c r="AL9" s="34"/>
      <c r="AM9" s="34" t="s">
        <v>25</v>
      </c>
      <c r="AN9" s="34">
        <f>COUNTIFS(Requirements!W:W,"1. MUST",Requirements!X:X,"PENDING")</f>
        <v>0</v>
      </c>
      <c r="AO9" s="34"/>
      <c r="AP9" s="34" t="s">
        <v>25</v>
      </c>
      <c r="AQ9" s="34">
        <f>COUNTIFS(Requirements!Y:Y,"1. MUST",Requirements!Z:Z,"PENDING")</f>
        <v>0</v>
      </c>
      <c r="AR9" s="34"/>
      <c r="AS9" s="34"/>
      <c r="AT9" s="34"/>
      <c r="AU9" s="34"/>
      <c r="AV9" s="34"/>
      <c r="AW9" s="34"/>
    </row>
    <row r="10" spans="1:49">
      <c r="A10" s="34"/>
      <c r="B10" s="34"/>
      <c r="C10" s="34"/>
      <c r="D10" s="34"/>
      <c r="E10" s="34"/>
      <c r="F10" s="34"/>
      <c r="G10" s="34"/>
      <c r="H10" s="34"/>
      <c r="I10" s="34"/>
      <c r="J10" s="34"/>
      <c r="K10" s="34"/>
      <c r="L10" s="34" t="s">
        <v>178</v>
      </c>
      <c r="M10" s="34">
        <f t="shared" si="0"/>
        <v>0</v>
      </c>
      <c r="N10" s="34"/>
      <c r="O10" s="34" t="s">
        <v>178</v>
      </c>
      <c r="P10" s="34">
        <f>COUNTIFS(Requirements!G:G,"1. MUST",Requirements!H:H,"N/A")</f>
        <v>0</v>
      </c>
      <c r="Q10" s="34"/>
      <c r="R10" s="34" t="s">
        <v>178</v>
      </c>
      <c r="S10" s="34">
        <f>COUNTIFS(Requirements!I:I,"1. MUST",Requirements!J:J,"N/A")</f>
        <v>0</v>
      </c>
      <c r="T10" s="34"/>
      <c r="U10" s="34" t="s">
        <v>178</v>
      </c>
      <c r="V10" s="34">
        <f>COUNTIFS(Requirements!K:K,"1. MUST",Requirements!L:L,"N/A")</f>
        <v>0</v>
      </c>
      <c r="W10" s="34"/>
      <c r="X10" s="34" t="s">
        <v>178</v>
      </c>
      <c r="Y10" s="34">
        <f>COUNTIFS(Requirements!M:M,"1. MUST",Requirements!N:N,"N/A")</f>
        <v>0</v>
      </c>
      <c r="Z10" s="34"/>
      <c r="AA10" s="34" t="s">
        <v>178</v>
      </c>
      <c r="AB10" s="34">
        <f>COUNTIFS(Requirements!O:O,"1. MUST",Requirements!P:P,"N/A")</f>
        <v>0</v>
      </c>
      <c r="AC10" s="34"/>
      <c r="AD10" s="34" t="s">
        <v>178</v>
      </c>
      <c r="AE10" s="34">
        <f>COUNTIFS(Requirements!Q:Q,"1. MUST",Requirements!R:R,"N/A")</f>
        <v>0</v>
      </c>
      <c r="AF10" s="34"/>
      <c r="AG10" s="34" t="s">
        <v>178</v>
      </c>
      <c r="AH10" s="34">
        <f>COUNTIFS(Requirements!S:S,"1. MUST",Requirements!T:T,"N/A")</f>
        <v>0</v>
      </c>
      <c r="AI10" s="34"/>
      <c r="AJ10" s="34" t="s">
        <v>178</v>
      </c>
      <c r="AK10" s="34">
        <f>COUNTIFS(Requirements!U:U,"1. MUST",Requirements!V:V,"N/A")</f>
        <v>0</v>
      </c>
      <c r="AL10" s="34"/>
      <c r="AM10" s="34" t="s">
        <v>178</v>
      </c>
      <c r="AN10" s="34">
        <f>COUNTIFS(Requirements!W:W,"1. MUST",Requirements!X:X,"N/A")</f>
        <v>0</v>
      </c>
      <c r="AO10" s="34"/>
      <c r="AP10" s="34" t="s">
        <v>178</v>
      </c>
      <c r="AQ10" s="34">
        <f>COUNTIFS(Requirements!Y:Y,"1. MUST",Requirements!Z:Z,"N/A")</f>
        <v>0</v>
      </c>
      <c r="AR10" s="34"/>
      <c r="AS10" s="34"/>
      <c r="AT10" s="34"/>
      <c r="AU10" s="34"/>
      <c r="AV10" s="34"/>
      <c r="AW10" s="34"/>
    </row>
    <row r="11" spans="1:49">
      <c r="A11" s="34"/>
      <c r="B11" s="34"/>
      <c r="C11" s="34"/>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row>
    <row r="12" spans="1:49">
      <c r="A12" s="34"/>
      <c r="B12" s="34"/>
      <c r="C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row>
    <row r="13" spans="1:49">
      <c r="A13" s="34"/>
      <c r="B13" s="34"/>
      <c r="C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row>
    <row r="14" spans="1:49">
      <c r="A14" s="34"/>
      <c r="B14" s="34"/>
      <c r="C14" s="34"/>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row>
    <row r="15" spans="1:49">
      <c r="A15" s="34"/>
      <c r="B15" s="34"/>
      <c r="C15" s="34"/>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row>
    <row r="16" spans="1:49">
      <c r="A16" s="34"/>
      <c r="B16" s="34"/>
      <c r="C16" s="34"/>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row>
    <row r="17" spans="1:49">
      <c r="A17" s="34"/>
      <c r="B17" s="34"/>
      <c r="C17" s="34"/>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row>
    <row r="18" spans="1:49">
      <c r="A18" s="34"/>
      <c r="B18" s="34"/>
      <c r="C18" s="34"/>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row>
    <row r="19" spans="1:49">
      <c r="A19" s="34"/>
      <c r="B19" s="34"/>
      <c r="C19" s="34"/>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row>
    <row r="20" spans="1:49">
      <c r="A20" s="34"/>
      <c r="B20" s="34"/>
      <c r="C20" s="34"/>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row>
    <row r="21" spans="1:49">
      <c r="A21" s="34"/>
      <c r="B21" s="34"/>
      <c r="C21" s="34"/>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row>
    <row r="22" spans="1:49">
      <c r="A22" s="34"/>
      <c r="B22" s="34"/>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c r="A23" s="34"/>
      <c r="B23" s="34"/>
      <c r="C23" s="34"/>
      <c r="D23" s="34"/>
      <c r="E23" s="34"/>
      <c r="F23" s="34"/>
      <c r="G23" s="34"/>
      <c r="H23" s="34"/>
      <c r="I23" s="34"/>
      <c r="J23" s="34"/>
      <c r="K23" s="34"/>
      <c r="L23" s="191" t="s">
        <v>144</v>
      </c>
      <c r="M23" s="191"/>
      <c r="N23" s="34"/>
      <c r="O23" s="191" t="str">
        <f>CONCATENATE(LEFT(Requirements!H2,LEN(Requirements!H2)-7)," (Any Priority)")</f>
        <v>AR Series (Any Priority)</v>
      </c>
      <c r="P23" s="191"/>
      <c r="Q23" s="34"/>
      <c r="R23" s="191" t="str">
        <f>CONCATENATE(LEFT(Requirements!J2,LEN(Requirements!J2)-7)," (Any Priority)")</f>
        <v>WP Series (Any Priority)</v>
      </c>
      <c r="S23" s="191"/>
      <c r="T23" s="34"/>
      <c r="U23" s="191" t="str">
        <f>CONCATENATE(LEFT(Requirements!L2,LEN(Requirements!L2)-7)," (Any Priority)")</f>
        <v>HL Series (Any Priority)</v>
      </c>
      <c r="V23" s="191"/>
      <c r="W23" s="34"/>
      <c r="X23" s="191" t="str">
        <f>CONCATENATE(LEFT(Requirements!N2,LEN(Requirements!N2)-7)," (Any Priority)")</f>
        <v>EM/MC Series (Any Priority)</v>
      </c>
      <c r="Y23" s="191"/>
      <c r="Z23" s="34"/>
      <c r="AA23" s="191" t="str">
        <f>CONCATENATE(LEFT(Requirements!P2,LEN(Requirements!R2)-7)," (Any Priority)")</f>
        <v>HL7800 (P (Any Priority)</v>
      </c>
      <c r="AB23" s="191"/>
      <c r="AC23" s="34"/>
      <c r="AD23" s="191" t="str">
        <f>CONCATENATE(LEFT(Requirements!R2,LEN(Requirements!R2)-7)," (Any Priority)")</f>
        <v>Product06 (Any Priority)</v>
      </c>
      <c r="AE23" s="191"/>
      <c r="AF23" s="34"/>
      <c r="AG23" s="191" t="str">
        <f>CONCATENATE(LEFT(Requirements!T2,LEN(Requirements!T2)-7)," (Any Priority)")</f>
        <v>Product07 (Any Priority)</v>
      </c>
      <c r="AH23" s="191"/>
      <c r="AI23" s="34"/>
      <c r="AJ23" s="191" t="str">
        <f>CONCATENATE(LEFT(Requirements!V2,LEN(Requirements!V2)-7)," (Any Priority)")</f>
        <v>Product08 (Any Priority)</v>
      </c>
      <c r="AK23" s="191"/>
      <c r="AL23" s="34"/>
      <c r="AM23" s="191" t="str">
        <f>CONCATENATE(LEFT(Requirements!X2,LEN(Requirements!X2)-7)," (Any Priority)")</f>
        <v>Product09 (Any Priority)</v>
      </c>
      <c r="AN23" s="191"/>
      <c r="AO23" s="34"/>
      <c r="AP23" s="191" t="str">
        <f>CONCATENATE(LEFT(Requirements!Z2,LEN(Requirements!Z2)-7)," (Any Priority)")</f>
        <v>Product10 (Any Priority)</v>
      </c>
      <c r="AQ23" s="191"/>
      <c r="AR23" s="34"/>
      <c r="AS23" s="34"/>
      <c r="AT23" s="34"/>
      <c r="AU23" s="34"/>
      <c r="AV23" s="34"/>
      <c r="AW23" s="34"/>
    </row>
    <row r="24" spans="1:49">
      <c r="A24" s="34"/>
      <c r="B24" s="34"/>
      <c r="C24" s="34"/>
      <c r="D24" s="34"/>
      <c r="E24" s="34"/>
      <c r="F24" s="34"/>
      <c r="G24" s="34"/>
      <c r="H24" s="34"/>
      <c r="I24" s="34"/>
      <c r="J24" s="34"/>
      <c r="K24" s="34"/>
      <c r="L24" s="34" t="s">
        <v>4</v>
      </c>
      <c r="M24" s="34">
        <f t="shared" ref="M24:M30" si="1">P24+S24+V24+Y24</f>
        <v>163</v>
      </c>
      <c r="N24" s="34"/>
      <c r="O24" s="34" t="s">
        <v>4</v>
      </c>
      <c r="P24" s="34">
        <f>COUNTIFS(Requirements!H:H,"ACCEPTED",Requirements!AC:AC,"No")</f>
        <v>51</v>
      </c>
      <c r="Q24" s="34"/>
      <c r="R24" s="34" t="s">
        <v>4</v>
      </c>
      <c r="S24" s="34">
        <f>COUNTIFS(Requirements!J:J,"ACCEPTED",Requirements!AC:AC,"No")</f>
        <v>49</v>
      </c>
      <c r="T24" s="34"/>
      <c r="U24" s="34" t="s">
        <v>4</v>
      </c>
      <c r="V24" s="34">
        <f>COUNTIFS(Requirements!L:L,"ACCEPTED",Requirements!AC:AC,"No")</f>
        <v>39</v>
      </c>
      <c r="W24" s="34"/>
      <c r="X24" s="34" t="s">
        <v>4</v>
      </c>
      <c r="Y24" s="34">
        <f>COUNTIFS(Requirements!N:N,"ACCEPTED",Requirements!AC:AC,"No")</f>
        <v>24</v>
      </c>
      <c r="Z24" s="34"/>
      <c r="AA24" s="34" t="s">
        <v>4</v>
      </c>
      <c r="AB24" s="34">
        <f>COUNTIFS(Requirements!P:P,"ACCEPTED",Requirements!AC:AC,"No")</f>
        <v>25</v>
      </c>
      <c r="AC24" s="34"/>
      <c r="AD24" s="34" t="s">
        <v>4</v>
      </c>
      <c r="AE24" s="34">
        <f>COUNTIFS(Requirements!R:R,"ACCEPTED",Requirements!AC:AC,"No")</f>
        <v>0</v>
      </c>
      <c r="AF24" s="34"/>
      <c r="AG24" s="34" t="s">
        <v>4</v>
      </c>
      <c r="AH24" s="34">
        <f>COUNTIFS(Requirements!T:T,"ACCEPTED",Requirements!AC:AC,"No")</f>
        <v>0</v>
      </c>
      <c r="AI24" s="34"/>
      <c r="AJ24" s="34" t="s">
        <v>4</v>
      </c>
      <c r="AK24" s="34">
        <f>COUNTIFS(Requirements!V:V,"ACCEPTED",Requirements!AC:AC,"No")</f>
        <v>0</v>
      </c>
      <c r="AL24" s="34"/>
      <c r="AM24" s="34" t="s">
        <v>4</v>
      </c>
      <c r="AN24" s="34">
        <f>COUNTIFS(Requirements!X:X,"ACCEPTED",Requirements!AC:AC,"No")</f>
        <v>0</v>
      </c>
      <c r="AO24" s="34"/>
      <c r="AP24" s="34" t="s">
        <v>4</v>
      </c>
      <c r="AQ24" s="34">
        <f>COUNTIFS(Requirements!Z:Z,"ACCEPTED",Requirements!AC:AC,"No")</f>
        <v>0</v>
      </c>
      <c r="AR24" s="34"/>
      <c r="AS24" s="34"/>
      <c r="AT24" s="34"/>
      <c r="AU24" s="34"/>
      <c r="AV24" s="34"/>
      <c r="AW24" s="34"/>
    </row>
    <row r="25" spans="1:49">
      <c r="A25" s="34"/>
      <c r="B25" s="34"/>
      <c r="C25" s="34"/>
      <c r="D25" s="34"/>
      <c r="E25" s="34"/>
      <c r="F25" s="34"/>
      <c r="G25" s="34"/>
      <c r="H25" s="34"/>
      <c r="I25" s="34"/>
      <c r="J25" s="34"/>
      <c r="K25" s="34"/>
      <c r="L25" s="34" t="s">
        <v>6</v>
      </c>
      <c r="M25" s="34">
        <f t="shared" si="1"/>
        <v>0</v>
      </c>
      <c r="N25" s="34"/>
      <c r="O25" s="34" t="s">
        <v>6</v>
      </c>
      <c r="P25" s="34">
        <f>COUNTIFS(Requirements!H:H,"ACCEPTED",Requirements!AC:AC,"Yes")</f>
        <v>0</v>
      </c>
      <c r="Q25" s="34"/>
      <c r="R25" s="34" t="s">
        <v>6</v>
      </c>
      <c r="S25" s="34">
        <f>COUNTIFS(Requirements!J:J,"INHERITED",Requirements!AC:AC,"Yes")</f>
        <v>0</v>
      </c>
      <c r="T25" s="34"/>
      <c r="U25" s="34" t="s">
        <v>6</v>
      </c>
      <c r="V25" s="34">
        <f>COUNTIFS(Requirements!L:L,"ACCEPTED",Requirements!AC:AC,"Yes")</f>
        <v>0</v>
      </c>
      <c r="W25" s="34"/>
      <c r="X25" s="34" t="s">
        <v>6</v>
      </c>
      <c r="Y25" s="34">
        <f>COUNTIFS(Requirements!N:N,"ACCEPTED",Requirements!AC:AC,"Yes")</f>
        <v>0</v>
      </c>
      <c r="Z25" s="34"/>
      <c r="AA25" s="34" t="s">
        <v>6</v>
      </c>
      <c r="AB25" s="34">
        <f>COUNTIFS(Requirements!P:P,"ACCEPTED",Requirements!AC:AC,"Yes")</f>
        <v>0</v>
      </c>
      <c r="AC25" s="34"/>
      <c r="AD25" s="34" t="s">
        <v>6</v>
      </c>
      <c r="AE25" s="34">
        <f>COUNTIFS(Requirements!R:R,"ACCEPTED",Requirements!AC:AC,"Yes")</f>
        <v>0</v>
      </c>
      <c r="AF25" s="34"/>
      <c r="AG25" s="34" t="s">
        <v>6</v>
      </c>
      <c r="AH25" s="34">
        <f>COUNTIFS(Requirements!T:T,"ACCEPTED",Requirements!AC:AC,"Yes")</f>
        <v>0</v>
      </c>
      <c r="AI25" s="34"/>
      <c r="AJ25" s="34" t="s">
        <v>6</v>
      </c>
      <c r="AK25" s="34">
        <f>COUNTIFS(Requirements!V:V,"ACCEPTED",Requirements!AC:AC,"Yes")</f>
        <v>0</v>
      </c>
      <c r="AL25" s="34"/>
      <c r="AM25" s="34" t="s">
        <v>6</v>
      </c>
      <c r="AN25" s="34">
        <f>COUNTIFS(Requirements!X:X,"ACCEPTED",Requirements!AC:AC,"Yes")</f>
        <v>0</v>
      </c>
      <c r="AO25" s="34"/>
      <c r="AP25" s="34" t="s">
        <v>6</v>
      </c>
      <c r="AQ25" s="34">
        <f>COUNTIFS(Requirements!Z:Z,"ACCEPTED",Requirements!AC:AC,"Yes")</f>
        <v>0</v>
      </c>
      <c r="AR25" s="34"/>
      <c r="AS25" s="34"/>
      <c r="AT25" s="34"/>
      <c r="AU25" s="34"/>
      <c r="AV25" s="34"/>
      <c r="AW25" s="34"/>
    </row>
    <row r="26" spans="1:49">
      <c r="A26" s="34"/>
      <c r="B26" s="34"/>
      <c r="C26" s="34"/>
      <c r="D26" s="34"/>
      <c r="E26" s="34"/>
      <c r="F26" s="34"/>
      <c r="G26" s="34"/>
      <c r="H26" s="34"/>
      <c r="I26" s="34"/>
      <c r="J26" s="34"/>
      <c r="K26" s="34"/>
      <c r="L26" s="34" t="s">
        <v>4</v>
      </c>
      <c r="M26" s="34">
        <f t="shared" si="1"/>
        <v>163</v>
      </c>
      <c r="N26" s="34"/>
      <c r="O26" s="34" t="s">
        <v>4</v>
      </c>
      <c r="P26" s="34">
        <f>SUM(P24:P25)</f>
        <v>51</v>
      </c>
      <c r="Q26" s="34"/>
      <c r="R26" s="34" t="s">
        <v>4</v>
      </c>
      <c r="S26" s="34">
        <f>SUM(S24:S25)</f>
        <v>49</v>
      </c>
      <c r="T26" s="34"/>
      <c r="U26" s="34" t="s">
        <v>4</v>
      </c>
      <c r="V26" s="34">
        <f>SUM(V24:V25)</f>
        <v>39</v>
      </c>
      <c r="W26" s="34"/>
      <c r="X26" s="34" t="s">
        <v>4</v>
      </c>
      <c r="Y26" s="34">
        <f>SUM(Y24:Y25)</f>
        <v>24</v>
      </c>
      <c r="Z26" s="34"/>
      <c r="AA26" s="34" t="s">
        <v>4</v>
      </c>
      <c r="AB26" s="34">
        <f>SUM(AB24:AB25)</f>
        <v>25</v>
      </c>
      <c r="AC26" s="34"/>
      <c r="AD26" s="34" t="s">
        <v>4</v>
      </c>
      <c r="AE26" s="34">
        <f>SUM(AE24:AE25)</f>
        <v>0</v>
      </c>
      <c r="AF26" s="34"/>
      <c r="AG26" s="34" t="s">
        <v>4</v>
      </c>
      <c r="AH26" s="34">
        <f>SUM(AH24:AH25)</f>
        <v>0</v>
      </c>
      <c r="AI26" s="34"/>
      <c r="AJ26" s="34" t="s">
        <v>4</v>
      </c>
      <c r="AK26" s="34">
        <f>SUM(AK24:AK25)</f>
        <v>0</v>
      </c>
      <c r="AL26" s="34"/>
      <c r="AM26" s="34" t="s">
        <v>4</v>
      </c>
      <c r="AN26" s="34">
        <f>SUM(AN24:AN25)</f>
        <v>0</v>
      </c>
      <c r="AO26" s="34"/>
      <c r="AP26" s="34" t="s">
        <v>4</v>
      </c>
      <c r="AQ26" s="34">
        <f>SUM(AQ24:AQ25)</f>
        <v>0</v>
      </c>
      <c r="AR26" s="34"/>
      <c r="AS26" s="34"/>
      <c r="AT26" s="34"/>
      <c r="AU26" s="34"/>
      <c r="AV26" s="34"/>
      <c r="AW26" s="34"/>
    </row>
    <row r="27" spans="1:49">
      <c r="A27" s="34"/>
      <c r="B27" s="34"/>
      <c r="C27" s="34"/>
      <c r="D27" s="34"/>
      <c r="E27" s="34"/>
      <c r="F27" s="34"/>
      <c r="G27" s="34"/>
      <c r="H27" s="34"/>
      <c r="I27" s="34"/>
      <c r="J27" s="34"/>
      <c r="K27" s="34"/>
      <c r="L27" s="34" t="s">
        <v>5</v>
      </c>
      <c r="M27" s="34">
        <f t="shared" si="1"/>
        <v>84</v>
      </c>
      <c r="N27" s="34"/>
      <c r="O27" s="34" t="s">
        <v>5</v>
      </c>
      <c r="P27" s="34">
        <f>COUNTIF(Requirements!H:H,"REJECTED")</f>
        <v>23</v>
      </c>
      <c r="Q27" s="34"/>
      <c r="R27" s="34" t="s">
        <v>5</v>
      </c>
      <c r="S27" s="34">
        <f>COUNTIF(Requirements!J:J,"REJECTED")</f>
        <v>25</v>
      </c>
      <c r="T27" s="34"/>
      <c r="U27" s="34" t="s">
        <v>5</v>
      </c>
      <c r="V27" s="34">
        <f>COUNTIF(Requirements!L:L,"REJECTED")</f>
        <v>23</v>
      </c>
      <c r="W27" s="34"/>
      <c r="X27" s="34" t="s">
        <v>5</v>
      </c>
      <c r="Y27" s="34">
        <f>COUNTIF(Requirements!N:N,"REJECTED")</f>
        <v>13</v>
      </c>
      <c r="Z27" s="34"/>
      <c r="AA27" s="34" t="s">
        <v>5</v>
      </c>
      <c r="AB27" s="34">
        <f>COUNTIF(Requirements!P:P,"REJECTED")</f>
        <v>26</v>
      </c>
      <c r="AC27" s="34"/>
      <c r="AD27" s="34" t="s">
        <v>5</v>
      </c>
      <c r="AE27" s="34">
        <f>COUNTIF(Requirements!R:R,"REJECTED")</f>
        <v>0</v>
      </c>
      <c r="AF27" s="34"/>
      <c r="AG27" s="34" t="s">
        <v>5</v>
      </c>
      <c r="AH27" s="34">
        <f>COUNTIF(Requirements!T:T,"REJECTED")</f>
        <v>0</v>
      </c>
      <c r="AI27" s="34"/>
      <c r="AJ27" s="34" t="s">
        <v>5</v>
      </c>
      <c r="AK27" s="34">
        <f>COUNTIF(Requirements!V:V,"REJECTED")</f>
        <v>0</v>
      </c>
      <c r="AL27" s="34"/>
      <c r="AM27" s="34" t="s">
        <v>5</v>
      </c>
      <c r="AN27" s="34">
        <f>COUNTIF(Requirements!X:X,"REJECTED")</f>
        <v>0</v>
      </c>
      <c r="AO27" s="34"/>
      <c r="AP27" s="34" t="s">
        <v>5</v>
      </c>
      <c r="AQ27" s="34">
        <f>COUNTIF(Requirements!Z:Z,"REJECTED")</f>
        <v>0</v>
      </c>
      <c r="AR27" s="34"/>
      <c r="AS27" s="34"/>
      <c r="AT27" s="34"/>
      <c r="AU27" s="34"/>
      <c r="AV27" s="34"/>
      <c r="AW27" s="34"/>
    </row>
    <row r="28" spans="1:49">
      <c r="A28" s="34"/>
      <c r="B28" s="34"/>
      <c r="C28" s="34"/>
      <c r="D28" s="34"/>
      <c r="E28" s="34"/>
      <c r="F28" s="34"/>
      <c r="G28" s="34"/>
      <c r="H28" s="34"/>
      <c r="I28" s="34"/>
      <c r="J28" s="34"/>
      <c r="K28" s="34"/>
      <c r="L28" s="34" t="s">
        <v>159</v>
      </c>
      <c r="M28" s="34">
        <f t="shared" si="1"/>
        <v>0</v>
      </c>
      <c r="N28" s="34"/>
      <c r="O28" s="34" t="s">
        <v>159</v>
      </c>
      <c r="P28" s="34">
        <f>COUNTIF(Requirements!H:H,"STUDY")</f>
        <v>0</v>
      </c>
      <c r="Q28" s="34"/>
      <c r="R28" s="34" t="s">
        <v>159</v>
      </c>
      <c r="S28" s="34">
        <f>COUNTIF(Requirements!J:J,"STUDY")</f>
        <v>0</v>
      </c>
      <c r="T28" s="34"/>
      <c r="U28" s="34" t="s">
        <v>159</v>
      </c>
      <c r="V28" s="34">
        <f>COUNTIF(Requirements!L:L,"STUDY")</f>
        <v>0</v>
      </c>
      <c r="W28" s="34"/>
      <c r="X28" s="34" t="s">
        <v>159</v>
      </c>
      <c r="Y28" s="34">
        <f>COUNTIF(Requirements!N:N,"STUDY")</f>
        <v>0</v>
      </c>
      <c r="Z28" s="34"/>
      <c r="AA28" s="34" t="s">
        <v>159</v>
      </c>
      <c r="AB28" s="34">
        <f>COUNTIF(Requirements!P:P,"STUDY")</f>
        <v>0</v>
      </c>
      <c r="AC28" s="34"/>
      <c r="AD28" s="34" t="s">
        <v>159</v>
      </c>
      <c r="AE28" s="34">
        <f>COUNTIF(Requirements!R:R,"STUDY")</f>
        <v>0</v>
      </c>
      <c r="AF28" s="34"/>
      <c r="AG28" s="34" t="s">
        <v>159</v>
      </c>
      <c r="AH28" s="34">
        <f>COUNTIF(Requirements!T:T,"STUDY")</f>
        <v>0</v>
      </c>
      <c r="AI28" s="34"/>
      <c r="AJ28" s="34" t="s">
        <v>159</v>
      </c>
      <c r="AK28" s="34">
        <f>COUNTIF(Requirements!V:V,"STUDY")</f>
        <v>0</v>
      </c>
      <c r="AL28" s="34"/>
      <c r="AM28" s="34" t="s">
        <v>159</v>
      </c>
      <c r="AN28" s="34">
        <f>COUNTIF(Requirements!X:X,"STUDY")</f>
        <v>0</v>
      </c>
      <c r="AO28" s="34"/>
      <c r="AP28" s="34" t="s">
        <v>159</v>
      </c>
      <c r="AQ28" s="34">
        <f>COUNTIF(Requirements!Z:Z,"STUDY")</f>
        <v>0</v>
      </c>
      <c r="AR28" s="34"/>
      <c r="AS28" s="34"/>
      <c r="AT28" s="34"/>
      <c r="AU28" s="34"/>
      <c r="AV28" s="34"/>
      <c r="AW28" s="34"/>
    </row>
    <row r="29" spans="1:49">
      <c r="A29" s="34"/>
      <c r="B29" s="34"/>
      <c r="C29" s="34"/>
      <c r="D29" s="34"/>
      <c r="E29" s="34"/>
      <c r="F29" s="34"/>
      <c r="G29" s="34"/>
      <c r="H29" s="34"/>
      <c r="I29" s="34"/>
      <c r="J29" s="34"/>
      <c r="K29" s="34"/>
      <c r="L29" s="34" t="s">
        <v>25</v>
      </c>
      <c r="M29" s="34">
        <f t="shared" si="1"/>
        <v>0</v>
      </c>
      <c r="N29" s="34"/>
      <c r="O29" s="34" t="s">
        <v>25</v>
      </c>
      <c r="P29" s="34">
        <f>COUNTIF(Requirements!H:H,"PENDING")</f>
        <v>0</v>
      </c>
      <c r="Q29" s="34"/>
      <c r="R29" s="34" t="s">
        <v>25</v>
      </c>
      <c r="S29" s="34">
        <f>COUNTIF(Requirements!J:J,"PENDING")</f>
        <v>0</v>
      </c>
      <c r="T29" s="34"/>
      <c r="U29" s="34" t="s">
        <v>25</v>
      </c>
      <c r="V29" s="34">
        <f>COUNTIF(Requirements!L:L,"PENDING")</f>
        <v>0</v>
      </c>
      <c r="W29" s="34"/>
      <c r="X29" s="34" t="s">
        <v>25</v>
      </c>
      <c r="Y29" s="34">
        <f>COUNTIF(Requirements!N:N,"PENDING")</f>
        <v>0</v>
      </c>
      <c r="Z29" s="34"/>
      <c r="AA29" s="34" t="s">
        <v>25</v>
      </c>
      <c r="AB29" s="34">
        <f>COUNTIF(Requirements!P:P,"PENDING")</f>
        <v>0</v>
      </c>
      <c r="AC29" s="34"/>
      <c r="AD29" s="34" t="s">
        <v>25</v>
      </c>
      <c r="AE29" s="34">
        <f>COUNTIF(Requirements!R:R,"PENDING")</f>
        <v>48</v>
      </c>
      <c r="AF29" s="34"/>
      <c r="AG29" s="34" t="s">
        <v>25</v>
      </c>
      <c r="AH29" s="34">
        <f>COUNTIF(Requirements!T:T,"PENDING")</f>
        <v>48</v>
      </c>
      <c r="AI29" s="34"/>
      <c r="AJ29" s="34" t="s">
        <v>25</v>
      </c>
      <c r="AK29" s="34">
        <f>COUNTIF(Requirements!V:V,"PENDING")</f>
        <v>48</v>
      </c>
      <c r="AL29" s="34"/>
      <c r="AM29" s="34" t="s">
        <v>25</v>
      </c>
      <c r="AN29" s="34">
        <f>COUNTIF(Requirements!X:X,"PENDING")</f>
        <v>48</v>
      </c>
      <c r="AO29" s="34"/>
      <c r="AP29" s="34" t="s">
        <v>25</v>
      </c>
      <c r="AQ29" s="34">
        <f>COUNTIF(Requirements!Z:Z,"PENDING")</f>
        <v>48</v>
      </c>
      <c r="AR29" s="34"/>
      <c r="AS29" s="34"/>
      <c r="AT29" s="34"/>
      <c r="AU29" s="34"/>
      <c r="AV29" s="34"/>
      <c r="AW29" s="34"/>
    </row>
    <row r="30" spans="1:49">
      <c r="A30" s="34"/>
      <c r="B30" s="34"/>
      <c r="C30" s="34"/>
      <c r="D30" s="34"/>
      <c r="E30" s="34"/>
      <c r="F30" s="34"/>
      <c r="G30" s="34"/>
      <c r="H30" s="34"/>
      <c r="I30" s="34"/>
      <c r="J30" s="34"/>
      <c r="K30" s="34"/>
      <c r="L30" s="34" t="s">
        <v>178</v>
      </c>
      <c r="M30" s="34">
        <f t="shared" si="1"/>
        <v>53</v>
      </c>
      <c r="N30" s="34"/>
      <c r="O30" s="34" t="s">
        <v>178</v>
      </c>
      <c r="P30" s="34">
        <f>COUNTIF(Requirements!H:H,"N/A")</f>
        <v>1</v>
      </c>
      <c r="Q30" s="34"/>
      <c r="R30" s="34" t="s">
        <v>178</v>
      </c>
      <c r="S30" s="34">
        <f>COUNTIF(Requirements!J:J,"N/A")</f>
        <v>1</v>
      </c>
      <c r="T30" s="34"/>
      <c r="U30" s="34" t="s">
        <v>178</v>
      </c>
      <c r="V30" s="34">
        <f>COUNTIF(Requirements!L:L,"N/A")</f>
        <v>13</v>
      </c>
      <c r="W30" s="34"/>
      <c r="X30" s="34" t="s">
        <v>178</v>
      </c>
      <c r="Y30" s="34">
        <f>COUNTIF(Requirements!N:N,"N/A")</f>
        <v>38</v>
      </c>
      <c r="Z30" s="34"/>
      <c r="AA30" s="34" t="s">
        <v>178</v>
      </c>
      <c r="AB30" s="34">
        <f>COUNTIF(Requirements!P:P,"N/A")</f>
        <v>24</v>
      </c>
      <c r="AC30" s="34"/>
      <c r="AD30" s="34" t="s">
        <v>178</v>
      </c>
      <c r="AE30" s="34">
        <f>COUNTIF(Requirements!R:R,"N/A")</f>
        <v>18</v>
      </c>
      <c r="AF30" s="34"/>
      <c r="AG30" s="34" t="s">
        <v>178</v>
      </c>
      <c r="AH30" s="34">
        <f>COUNTIF(Requirements!T:T,"N/A")</f>
        <v>18</v>
      </c>
      <c r="AI30" s="34"/>
      <c r="AJ30" s="34" t="s">
        <v>178</v>
      </c>
      <c r="AK30" s="34">
        <f>COUNTIF(Requirements!V:V,"N/A")</f>
        <v>18</v>
      </c>
      <c r="AL30" s="34"/>
      <c r="AM30" s="34" t="s">
        <v>178</v>
      </c>
      <c r="AN30" s="34">
        <f>COUNTIF(Requirements!X:X,"N/A")</f>
        <v>18</v>
      </c>
      <c r="AO30" s="34"/>
      <c r="AP30" s="34" t="s">
        <v>178</v>
      </c>
      <c r="AQ30" s="34">
        <f>COUNTIF(Requirements!Z:Z,"N/A")</f>
        <v>18</v>
      </c>
      <c r="AR30" s="34"/>
      <c r="AS30" s="34"/>
      <c r="AT30" s="34"/>
      <c r="AU30" s="34"/>
      <c r="AV30" s="34"/>
      <c r="AW30" s="34"/>
    </row>
    <row r="31" spans="1:49">
      <c r="A31" s="34"/>
      <c r="B31" s="34"/>
      <c r="C31" s="34"/>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row>
    <row r="32" spans="1:49">
      <c r="A32" s="34"/>
      <c r="B32" s="34"/>
      <c r="C32" s="34"/>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row>
    <row r="33" spans="1:49">
      <c r="A33" s="34"/>
      <c r="B33" s="34"/>
      <c r="C33" s="34"/>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row>
    <row r="34" spans="1:49">
      <c r="A34" s="34"/>
      <c r="B34" s="34"/>
      <c r="C34" s="34"/>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row>
    <row r="35" spans="1:49">
      <c r="A35" s="34"/>
      <c r="B35" s="34"/>
      <c r="C35" s="34"/>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row>
    <row r="36" spans="1:49">
      <c r="A36" s="34"/>
      <c r="B36" s="34"/>
      <c r="C36" s="34"/>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row>
    <row r="37" spans="1:49">
      <c r="A37" s="34"/>
      <c r="B37" s="34"/>
      <c r="C37" s="34"/>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row>
    <row r="38" spans="1:49">
      <c r="A38" s="34"/>
      <c r="B38" s="34"/>
      <c r="C38" s="34"/>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row>
    <row r="39" spans="1:49">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row>
    <row r="40" spans="1:49">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row>
    <row r="41" spans="1:49">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row>
    <row r="42" spans="1:49">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row>
    <row r="43" spans="1:49">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row>
    <row r="44" spans="1:49">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row>
    <row r="46" spans="1:49">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row>
    <row r="47" spans="1:49">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row>
    <row r="48" spans="1:49">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row>
    <row r="49" spans="1:49">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row>
    <row r="50" spans="1:49">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row>
    <row r="51" spans="1:49">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row>
    <row r="52" spans="1:49">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row>
    <row r="53" spans="1:49">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row>
    <row r="54" spans="1:49">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row>
    <row r="55" spans="1:49">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row>
    <row r="56" spans="1:49">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row>
    <row r="57" spans="1:49">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row>
    <row r="58" spans="1:49">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row>
    <row r="59" spans="1:49">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row>
    <row r="60" spans="1:49">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row>
    <row r="61" spans="1:49">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row>
    <row r="62" spans="1:49">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row>
    <row r="63" spans="1:49">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row>
    <row r="64" spans="1:49">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row>
    <row r="65" spans="1:49">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row>
    <row r="66" spans="1:49">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row>
    <row r="67" spans="1:49">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row>
    <row r="68" spans="1:49">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row>
    <row r="69" spans="1:49">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row>
    <row r="70" spans="1:49">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row>
    <row r="71" spans="1:49">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row>
    <row r="72" spans="1:49">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row>
    <row r="73" spans="1:49">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row>
    <row r="74" spans="1:49">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row>
    <row r="75" spans="1:49">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row>
    <row r="76" spans="1:49">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row>
    <row r="77" spans="1:49">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row>
    <row r="78" spans="1:49">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row>
    <row r="79" spans="1:49">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row>
    <row r="80" spans="1:49">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row>
    <row r="81" spans="1:49">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row>
    <row r="82" spans="1:49">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row>
    <row r="83" spans="1:49">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row>
    <row r="84" spans="1:49">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row>
    <row r="85" spans="1:49">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row>
    <row r="86" spans="1:49">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row>
    <row r="87" spans="1:49">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row>
    <row r="88" spans="1:49">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row>
    <row r="89" spans="1:49">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row>
    <row r="90" spans="1:49">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row>
    <row r="91" spans="1:49">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row>
    <row r="92" spans="1:49">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row>
    <row r="93" spans="1:49">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row>
    <row r="94" spans="1:49">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row>
    <row r="95" spans="1:49">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row>
    <row r="96" spans="1:49">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row>
    <row r="97" spans="1:49">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row>
    <row r="98" spans="1:49">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row>
    <row r="99" spans="1:49">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row>
    <row r="100" spans="1:49">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row>
    <row r="101" spans="1:49">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row>
    <row r="102" spans="1:49">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row>
    <row r="103" spans="1:49">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row>
    <row r="104" spans="1:49">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row>
    <row r="105" spans="1:49">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row>
    <row r="106" spans="1:49">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row>
    <row r="107" spans="1:49">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row>
    <row r="108" spans="1:49">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row>
    <row r="109" spans="1:49">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row>
    <row r="110" spans="1:49">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row>
    <row r="111" spans="1:49">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row>
    <row r="112" spans="1:49">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row>
    <row r="113" spans="1:49">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row>
    <row r="114" spans="1:49">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row>
    <row r="115" spans="1:49">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row>
    <row r="116" spans="1:49">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row>
    <row r="117" spans="1:49">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row>
    <row r="118" spans="1:49">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row>
    <row r="119" spans="1:49">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row>
    <row r="120" spans="1:49">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row>
    <row r="121" spans="1:49">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row>
    <row r="122" spans="1:49">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row>
    <row r="123" spans="1:49">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row>
    <row r="124" spans="1:49">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row>
    <row r="125" spans="1:49">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row>
    <row r="126" spans="1:49">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row>
    <row r="127" spans="1:49">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row>
    <row r="128" spans="1:49">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row>
    <row r="129" spans="1:49">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row>
    <row r="130" spans="1:49">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row>
    <row r="131" spans="1:49">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row>
    <row r="132" spans="1:49">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row>
    <row r="133" spans="1:49">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row>
    <row r="134" spans="1:49">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row>
    <row r="135" spans="1:49">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row>
    <row r="136" spans="1:49">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row>
    <row r="137" spans="1:49">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row>
    <row r="138" spans="1:49">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row>
    <row r="139" spans="1:49">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row>
    <row r="140" spans="1:49">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row>
    <row r="141" spans="1:49">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row>
    <row r="142" spans="1:49">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row>
    <row r="143" spans="1:49">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row>
    <row r="144" spans="1:49">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row>
    <row r="145" spans="1:49">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row>
    <row r="146" spans="1:49">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row>
    <row r="147" spans="1:49">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row>
    <row r="148" spans="1:49">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row>
    <row r="149" spans="1:49">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row>
    <row r="150" spans="1:49">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row>
    <row r="151" spans="1:49">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row>
    <row r="152" spans="1:49">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row>
    <row r="153" spans="1:49">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row>
    <row r="154" spans="1:49">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row>
    <row r="155" spans="1:49">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row>
    <row r="156" spans="1:49">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row>
    <row r="157" spans="1:49">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row>
    <row r="158" spans="1:49">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row>
    <row r="159" spans="1:49">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row>
    <row r="160" spans="1:49">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row>
    <row r="161" spans="1:49">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row>
    <row r="162" spans="1:49">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row>
    <row r="163" spans="1:49">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row>
    <row r="164" spans="1:49">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row>
    <row r="165" spans="1:49">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row>
    <row r="166" spans="1:49">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row>
    <row r="167" spans="1:49">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row>
    <row r="168" spans="1:49">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row>
    <row r="169" spans="1:49">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row>
    <row r="170" spans="1:49">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row>
    <row r="171" spans="1:49">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row>
    <row r="172" spans="1:49">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row>
    <row r="173" spans="1:49">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row>
    <row r="174" spans="1:49">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row>
    <row r="175" spans="1:49">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row>
    <row r="176" spans="1:49">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row>
    <row r="177" spans="1:49">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row>
    <row r="178" spans="1:49">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row>
    <row r="179" spans="1:49">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row>
    <row r="180" spans="1:49">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row>
    <row r="181" spans="1:49">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row>
    <row r="182" spans="1:49">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row>
    <row r="183" spans="1:49">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row>
    <row r="184" spans="1:49">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row>
    <row r="185" spans="1:49">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row>
    <row r="186" spans="1:49">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row>
  </sheetData>
  <mergeCells count="22">
    <mergeCell ref="U3:V3"/>
    <mergeCell ref="X3:Y3"/>
    <mergeCell ref="U23:V23"/>
    <mergeCell ref="X23:Y23"/>
    <mergeCell ref="L3:M3"/>
    <mergeCell ref="L23:M23"/>
    <mergeCell ref="O3:P3"/>
    <mergeCell ref="R3:S3"/>
    <mergeCell ref="O23:P23"/>
    <mergeCell ref="R23:S23"/>
    <mergeCell ref="AJ3:AK3"/>
    <mergeCell ref="AM3:AN3"/>
    <mergeCell ref="AP3:AQ3"/>
    <mergeCell ref="AG23:AH23"/>
    <mergeCell ref="AJ23:AK23"/>
    <mergeCell ref="AM23:AN23"/>
    <mergeCell ref="AP23:AQ23"/>
    <mergeCell ref="AA3:AB3"/>
    <mergeCell ref="AD3:AE3"/>
    <mergeCell ref="AA23:AB23"/>
    <mergeCell ref="AD23:AE23"/>
    <mergeCell ref="AG3:AH3"/>
  </mergeCell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Feuil8"/>
  <dimension ref="A1:AE139"/>
  <sheetViews>
    <sheetView topLeftCell="A40" workbookViewId="0">
      <selection activeCell="E68" sqref="E68"/>
    </sheetView>
  </sheetViews>
  <sheetFormatPr defaultColWidth="11.42578125" defaultRowHeight="15"/>
  <cols>
    <col min="1" max="1" width="7.42578125" style="121" customWidth="1"/>
    <col min="2" max="2" width="3.7109375" style="121" customWidth="1"/>
    <col min="3" max="4" width="11.42578125" style="121"/>
    <col min="5" max="5" width="97.42578125" style="121" customWidth="1"/>
    <col min="6" max="6" width="44.42578125" style="121" customWidth="1"/>
    <col min="7" max="16384" width="11.42578125" style="121"/>
  </cols>
  <sheetData>
    <row r="1" spans="1:31">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row>
    <row r="2" spans="1:31">
      <c r="A2" s="34"/>
      <c r="B2" s="34"/>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row>
    <row r="3" spans="1:31" ht="15.75" thickBot="1">
      <c r="A3" s="34"/>
      <c r="B3" s="34"/>
      <c r="C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row>
    <row r="4" spans="1:31" ht="18.75">
      <c r="A4" s="34"/>
      <c r="B4" s="6"/>
      <c r="C4" s="7"/>
      <c r="D4" s="8"/>
      <c r="E4" s="8"/>
      <c r="F4" s="9"/>
      <c r="G4" s="34"/>
      <c r="H4" s="34"/>
      <c r="I4" s="34"/>
      <c r="J4" s="34"/>
      <c r="K4" s="34"/>
      <c r="L4" s="34"/>
      <c r="M4" s="34"/>
      <c r="N4" s="34"/>
      <c r="O4" s="34"/>
      <c r="P4" s="34"/>
      <c r="Q4" s="34"/>
      <c r="R4" s="34"/>
      <c r="S4" s="34"/>
      <c r="T4" s="34"/>
      <c r="U4" s="34"/>
      <c r="V4" s="34"/>
      <c r="W4" s="34"/>
      <c r="X4" s="34"/>
      <c r="Y4" s="34"/>
      <c r="Z4" s="34"/>
      <c r="AA4" s="34"/>
      <c r="AB4" s="34"/>
      <c r="AC4" s="34"/>
      <c r="AD4" s="34"/>
      <c r="AE4" s="34"/>
    </row>
    <row r="5" spans="1:31" ht="21">
      <c r="A5" s="34"/>
      <c r="B5" s="10"/>
      <c r="C5" s="192" t="s">
        <v>11</v>
      </c>
      <c r="D5" s="193"/>
      <c r="E5" s="193"/>
      <c r="F5" s="11"/>
      <c r="G5" s="34"/>
      <c r="H5" s="34"/>
      <c r="I5" s="34"/>
      <c r="J5" s="34"/>
      <c r="K5" s="34"/>
      <c r="L5" s="34"/>
      <c r="M5" s="34"/>
      <c r="N5" s="34"/>
      <c r="O5" s="34"/>
      <c r="P5" s="34"/>
      <c r="Q5" s="34"/>
      <c r="R5" s="34"/>
      <c r="S5" s="34"/>
      <c r="T5" s="34"/>
      <c r="U5" s="34"/>
      <c r="V5" s="34"/>
      <c r="W5" s="34"/>
      <c r="X5" s="34"/>
      <c r="Y5" s="34"/>
      <c r="Z5" s="34"/>
      <c r="AA5" s="34"/>
      <c r="AB5" s="34"/>
      <c r="AC5" s="34"/>
      <c r="AD5" s="34"/>
      <c r="AE5" s="34"/>
    </row>
    <row r="6" spans="1:31" ht="21">
      <c r="A6" s="34"/>
      <c r="B6" s="10"/>
      <c r="C6" s="29"/>
      <c r="D6" s="13"/>
      <c r="E6" s="115" t="s">
        <v>86</v>
      </c>
      <c r="F6" s="11"/>
      <c r="G6" s="34"/>
      <c r="H6" s="34"/>
      <c r="I6" s="34"/>
      <c r="J6" s="34"/>
      <c r="K6" s="34"/>
      <c r="L6" s="34"/>
      <c r="M6" s="34"/>
      <c r="N6" s="34"/>
      <c r="O6" s="34"/>
      <c r="P6" s="34"/>
      <c r="Q6" s="34"/>
      <c r="R6" s="34"/>
      <c r="S6" s="34"/>
      <c r="T6" s="34"/>
      <c r="U6" s="34"/>
      <c r="V6" s="34"/>
      <c r="W6" s="34"/>
      <c r="X6" s="34"/>
      <c r="Y6" s="34"/>
      <c r="Z6" s="34"/>
      <c r="AA6" s="34"/>
      <c r="AB6" s="34"/>
      <c r="AC6" s="34"/>
      <c r="AD6" s="34"/>
      <c r="AE6" s="34"/>
    </row>
    <row r="7" spans="1:31" ht="18.75">
      <c r="A7" s="34"/>
      <c r="B7" s="10"/>
      <c r="C7" s="12"/>
      <c r="D7" s="13"/>
      <c r="E7" s="13"/>
      <c r="F7" s="14"/>
      <c r="G7" s="34"/>
      <c r="H7" s="34"/>
      <c r="I7" s="34"/>
      <c r="J7" s="34"/>
      <c r="K7" s="34"/>
      <c r="L7" s="34"/>
      <c r="M7" s="34"/>
      <c r="N7" s="34"/>
      <c r="O7" s="34"/>
      <c r="P7" s="34"/>
      <c r="Q7" s="34"/>
      <c r="R7" s="34"/>
      <c r="S7" s="34"/>
      <c r="T7" s="34"/>
      <c r="U7" s="34"/>
      <c r="V7" s="34"/>
      <c r="W7" s="34"/>
      <c r="X7" s="34"/>
      <c r="Y7" s="34"/>
      <c r="Z7" s="34"/>
      <c r="AA7" s="34"/>
      <c r="AB7" s="34"/>
      <c r="AC7" s="34"/>
      <c r="AD7" s="34"/>
      <c r="AE7" s="34"/>
    </row>
    <row r="8" spans="1:31" ht="18.75">
      <c r="A8" s="34"/>
      <c r="B8" s="10"/>
      <c r="C8" s="12" t="s">
        <v>20</v>
      </c>
      <c r="D8" s="13"/>
      <c r="E8" s="13"/>
      <c r="F8" s="14"/>
      <c r="G8" s="34"/>
      <c r="H8" s="34"/>
      <c r="I8" s="34"/>
      <c r="J8" s="34"/>
      <c r="K8" s="34"/>
      <c r="L8" s="34"/>
      <c r="M8" s="34"/>
      <c r="N8" s="34"/>
      <c r="O8" s="34"/>
      <c r="P8" s="34"/>
      <c r="Q8" s="34"/>
      <c r="R8" s="34"/>
      <c r="S8" s="34"/>
      <c r="T8" s="34"/>
      <c r="U8" s="34"/>
      <c r="V8" s="34"/>
      <c r="W8" s="34"/>
      <c r="X8" s="34"/>
      <c r="Y8" s="34"/>
      <c r="Z8" s="34"/>
      <c r="AA8" s="34"/>
      <c r="AB8" s="34"/>
      <c r="AC8" s="34"/>
      <c r="AD8" s="34"/>
      <c r="AE8" s="34"/>
    </row>
    <row r="9" spans="1:31" ht="18.75">
      <c r="A9" s="34"/>
      <c r="B9" s="10"/>
      <c r="C9" s="12"/>
      <c r="D9" s="13" t="s">
        <v>106</v>
      </c>
      <c r="E9" s="13"/>
      <c r="F9" s="14"/>
      <c r="G9" s="34"/>
      <c r="H9" s="34"/>
      <c r="I9" s="34"/>
      <c r="J9" s="34"/>
      <c r="K9" s="34"/>
      <c r="L9" s="34"/>
      <c r="M9" s="34"/>
      <c r="N9" s="34"/>
      <c r="O9" s="34"/>
      <c r="P9" s="34"/>
      <c r="Q9" s="34"/>
      <c r="R9" s="34"/>
      <c r="S9" s="34"/>
      <c r="T9" s="34"/>
      <c r="U9" s="34"/>
      <c r="V9" s="34"/>
      <c r="W9" s="34"/>
      <c r="X9" s="34"/>
      <c r="Y9" s="34"/>
      <c r="Z9" s="34"/>
      <c r="AA9" s="34"/>
      <c r="AB9" s="34"/>
      <c r="AC9" s="34"/>
      <c r="AD9" s="34"/>
      <c r="AE9" s="34"/>
    </row>
    <row r="10" spans="1:31" ht="18.75">
      <c r="A10" s="34"/>
      <c r="B10" s="10"/>
      <c r="C10" s="12"/>
      <c r="D10" s="87" t="s">
        <v>107</v>
      </c>
      <c r="E10" s="86"/>
      <c r="F10" s="1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row>
    <row r="11" spans="1:31" ht="18.75">
      <c r="A11" s="34"/>
      <c r="B11" s="10"/>
      <c r="C11" s="12"/>
      <c r="D11" s="13" t="s">
        <v>103</v>
      </c>
      <c r="E11" s="13"/>
      <c r="F11" s="1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row>
    <row r="12" spans="1:31" ht="18.75">
      <c r="A12" s="34"/>
      <c r="B12" s="10"/>
      <c r="C12" s="12"/>
      <c r="D12" s="13"/>
      <c r="E12" s="13" t="s">
        <v>101</v>
      </c>
      <c r="F12" s="1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row>
    <row r="13" spans="1:31" ht="18.75">
      <c r="A13" s="34"/>
      <c r="B13" s="10"/>
      <c r="C13" s="12"/>
      <c r="D13" s="13"/>
      <c r="E13" s="13" t="s">
        <v>102</v>
      </c>
      <c r="F13" s="1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row>
    <row r="14" spans="1:31" ht="18.75">
      <c r="A14" s="34"/>
      <c r="B14" s="10"/>
      <c r="C14" s="12"/>
      <c r="D14" s="13"/>
      <c r="E14" s="13" t="s">
        <v>104</v>
      </c>
      <c r="F14" s="1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row>
    <row r="15" spans="1:31" ht="18.75">
      <c r="A15" s="34"/>
      <c r="B15" s="10"/>
      <c r="C15" s="12"/>
      <c r="D15" s="13"/>
      <c r="E15" s="13"/>
      <c r="F15" s="1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row>
    <row r="16" spans="1:31" ht="18.75">
      <c r="A16" s="34"/>
      <c r="B16" s="10"/>
      <c r="C16" s="12" t="s">
        <v>21</v>
      </c>
      <c r="D16" s="13"/>
      <c r="E16" s="13"/>
      <c r="F16" s="1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row>
    <row r="17" spans="1:31" ht="18.75">
      <c r="A17" s="34"/>
      <c r="B17" s="10"/>
      <c r="C17" s="12"/>
      <c r="D17" s="15" t="s">
        <v>7</v>
      </c>
      <c r="E17" s="13"/>
      <c r="F17" s="1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row>
    <row r="18" spans="1:31" ht="18.75">
      <c r="A18" s="34"/>
      <c r="B18" s="10"/>
      <c r="C18" s="12"/>
      <c r="D18" s="15"/>
      <c r="E18" s="13" t="s">
        <v>100</v>
      </c>
      <c r="F18" s="1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row>
    <row r="19" spans="1:31" ht="18.75">
      <c r="A19" s="34"/>
      <c r="B19" s="10"/>
      <c r="C19" s="12"/>
      <c r="D19" s="15" t="s">
        <v>56</v>
      </c>
      <c r="E19" s="13"/>
      <c r="F19" s="1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row>
    <row r="20" spans="1:31" ht="18.75">
      <c r="A20" s="34"/>
      <c r="B20" s="10"/>
      <c r="C20" s="12"/>
      <c r="D20" s="15"/>
      <c r="E20" s="13" t="s">
        <v>100</v>
      </c>
      <c r="F20" s="1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row>
    <row r="21" spans="1:31" ht="18.75">
      <c r="A21" s="34"/>
      <c r="B21" s="10"/>
      <c r="C21" s="12"/>
      <c r="D21" s="15" t="s">
        <v>55</v>
      </c>
      <c r="E21" s="13"/>
      <c r="F21" s="1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row>
    <row r="22" spans="1:31" ht="18.75">
      <c r="A22" s="34"/>
      <c r="B22" s="10"/>
      <c r="C22" s="12"/>
      <c r="D22" s="15"/>
      <c r="E22" s="13" t="s">
        <v>100</v>
      </c>
      <c r="F22" s="1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row>
    <row r="23" spans="1:31" ht="18.75">
      <c r="A23" s="34"/>
      <c r="B23" s="10"/>
      <c r="C23" s="12"/>
      <c r="D23" s="15" t="s">
        <v>8</v>
      </c>
      <c r="E23" s="13"/>
      <c r="F23" s="1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row>
    <row r="24" spans="1:31" ht="18.75">
      <c r="A24" s="34"/>
      <c r="B24" s="10"/>
      <c r="C24" s="12"/>
      <c r="D24" s="15"/>
      <c r="E24" s="13" t="s">
        <v>100</v>
      </c>
      <c r="F24" s="1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row>
    <row r="25" spans="1:31" ht="18.75">
      <c r="A25" s="34"/>
      <c r="B25" s="10"/>
      <c r="C25" s="12"/>
      <c r="D25" s="15" t="s">
        <v>10</v>
      </c>
      <c r="E25" s="13"/>
      <c r="F25" s="1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row>
    <row r="26" spans="1:31" ht="18.75">
      <c r="A26" s="34"/>
      <c r="B26" s="10"/>
      <c r="C26" s="12"/>
      <c r="D26" s="15"/>
      <c r="E26" s="13" t="s">
        <v>100</v>
      </c>
      <c r="F26" s="1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row>
    <row r="27" spans="1:31" ht="18.75">
      <c r="A27" s="34"/>
      <c r="B27" s="10"/>
      <c r="C27" s="12"/>
      <c r="D27" s="21" t="s">
        <v>28</v>
      </c>
      <c r="E27" s="20"/>
      <c r="F27" s="1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row>
    <row r="28" spans="1:31" ht="18.75">
      <c r="A28" s="34"/>
      <c r="B28" s="10"/>
      <c r="C28" s="12"/>
      <c r="D28" s="15"/>
      <c r="E28" s="13" t="s">
        <v>100</v>
      </c>
      <c r="F28" s="1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row>
    <row r="29" spans="1:31" ht="18.75">
      <c r="A29" s="34"/>
      <c r="B29" s="10"/>
      <c r="C29" s="12"/>
      <c r="D29" s="21" t="s">
        <v>29</v>
      </c>
      <c r="E29" s="20"/>
      <c r="F29" s="14"/>
      <c r="G29" s="34"/>
      <c r="H29" s="34"/>
      <c r="I29" s="34"/>
      <c r="J29" s="34"/>
      <c r="K29" s="34"/>
      <c r="L29" s="34"/>
      <c r="M29" s="34"/>
      <c r="N29" s="34"/>
      <c r="O29" s="34"/>
      <c r="P29" s="34"/>
      <c r="Q29" s="34"/>
      <c r="R29" s="34"/>
      <c r="S29" s="34"/>
      <c r="T29" s="34"/>
      <c r="U29" s="34"/>
      <c r="V29" s="34"/>
      <c r="W29" s="34"/>
      <c r="X29" s="34"/>
      <c r="Y29" s="34"/>
      <c r="Z29" s="34"/>
      <c r="AA29" s="34"/>
      <c r="AB29" s="34"/>
      <c r="AC29" s="34"/>
      <c r="AD29" s="34"/>
      <c r="AE29" s="34"/>
    </row>
    <row r="30" spans="1:31" ht="18.75">
      <c r="A30" s="34"/>
      <c r="B30" s="10"/>
      <c r="C30" s="12"/>
      <c r="D30" s="15"/>
      <c r="E30" s="13" t="s">
        <v>100</v>
      </c>
      <c r="F30" s="1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row>
    <row r="31" spans="1:31" ht="18.75">
      <c r="A31" s="34"/>
      <c r="B31" s="10"/>
      <c r="C31" s="12"/>
      <c r="D31" s="15" t="s">
        <v>9</v>
      </c>
      <c r="E31" s="13"/>
      <c r="F31" s="1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row>
    <row r="32" spans="1:31" ht="18.75">
      <c r="A32" s="34"/>
      <c r="B32" s="10"/>
      <c r="C32" s="12"/>
      <c r="D32" s="15"/>
      <c r="E32" s="13" t="s">
        <v>100</v>
      </c>
      <c r="F32" s="1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row>
    <row r="33" spans="1:31" ht="18.75">
      <c r="A33" s="34"/>
      <c r="B33" s="10"/>
      <c r="C33" s="12"/>
      <c r="D33" s="15" t="s">
        <v>57</v>
      </c>
      <c r="E33" s="13"/>
      <c r="F33" s="1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row>
    <row r="34" spans="1:31" ht="18.75">
      <c r="A34" s="34"/>
      <c r="B34" s="10"/>
      <c r="C34" s="12"/>
      <c r="D34" s="15"/>
      <c r="E34" s="13" t="s">
        <v>100</v>
      </c>
      <c r="F34" s="1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row>
    <row r="35" spans="1:31" ht="18.75">
      <c r="A35" s="34"/>
      <c r="B35" s="10"/>
      <c r="C35" s="12"/>
      <c r="D35" s="15" t="s">
        <v>58</v>
      </c>
      <c r="E35" s="13"/>
      <c r="F35" s="1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row>
    <row r="36" spans="1:31" ht="18.75">
      <c r="A36" s="34"/>
      <c r="B36" s="10"/>
      <c r="C36" s="12"/>
      <c r="D36" s="15"/>
      <c r="E36" s="13" t="s">
        <v>100</v>
      </c>
      <c r="F36" s="1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row>
    <row r="37" spans="1:31" ht="18.75">
      <c r="A37" s="34"/>
      <c r="B37" s="10"/>
      <c r="C37" s="12"/>
      <c r="D37" s="15" t="s">
        <v>59</v>
      </c>
      <c r="E37" s="13"/>
      <c r="F37" s="1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row>
    <row r="38" spans="1:31" ht="18.75">
      <c r="A38" s="34"/>
      <c r="B38" s="10"/>
      <c r="C38" s="12"/>
      <c r="D38" s="15"/>
      <c r="E38" s="13" t="s">
        <v>100</v>
      </c>
      <c r="F38" s="1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row>
    <row r="39" spans="1:31" ht="18.75">
      <c r="A39" s="34"/>
      <c r="B39" s="10"/>
      <c r="C39" s="12"/>
      <c r="D39" s="15" t="s">
        <v>60</v>
      </c>
      <c r="E39" s="13"/>
      <c r="F39" s="1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row>
    <row r="40" spans="1:31" ht="18.75">
      <c r="A40" s="34"/>
      <c r="B40" s="10"/>
      <c r="C40" s="12"/>
      <c r="D40" s="15"/>
      <c r="E40" s="13" t="s">
        <v>100</v>
      </c>
      <c r="F40" s="1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row>
    <row r="41" spans="1:31" ht="18.75">
      <c r="A41" s="34"/>
      <c r="B41" s="10"/>
      <c r="C41" s="12"/>
      <c r="D41" s="13"/>
      <c r="E41" s="13"/>
      <c r="F41" s="1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row>
    <row r="42" spans="1:31" ht="18.75">
      <c r="A42" s="34"/>
      <c r="B42" s="10"/>
      <c r="C42" s="12" t="s">
        <v>22</v>
      </c>
      <c r="D42" s="13"/>
      <c r="E42" s="13"/>
      <c r="F42" s="1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row>
    <row r="43" spans="1:31" ht="18.75">
      <c r="A43" s="34"/>
      <c r="B43" s="10"/>
      <c r="C43" s="12"/>
      <c r="D43" s="13" t="s">
        <v>94</v>
      </c>
      <c r="E43" s="13"/>
      <c r="F43" s="1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ht="18.75">
      <c r="A44" s="34"/>
      <c r="B44" s="10"/>
      <c r="C44" s="12"/>
      <c r="D44" s="13" t="s">
        <v>23</v>
      </c>
      <c r="E44" s="13"/>
      <c r="F44" s="1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row>
    <row r="45" spans="1:31" ht="18.75">
      <c r="A45" s="34"/>
      <c r="B45" s="10"/>
      <c r="C45" s="12"/>
      <c r="D45" s="13" t="s">
        <v>105</v>
      </c>
      <c r="E45" s="13"/>
      <c r="F45" s="1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row>
    <row r="46" spans="1:31" ht="18.75">
      <c r="A46" s="34"/>
      <c r="B46" s="10"/>
      <c r="C46" s="12"/>
      <c r="D46" s="13" t="s">
        <v>95</v>
      </c>
      <c r="E46" s="13"/>
      <c r="F46" s="1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row>
    <row r="47" spans="1:31" ht="18.75">
      <c r="A47" s="34"/>
      <c r="B47" s="10"/>
      <c r="C47" s="12"/>
      <c r="D47" s="13" t="s">
        <v>209</v>
      </c>
      <c r="E47" s="13"/>
      <c r="F47" s="1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row>
    <row r="48" spans="1:31" ht="18.75">
      <c r="A48" s="34"/>
      <c r="B48" s="10"/>
      <c r="C48" s="12"/>
      <c r="D48" s="13" t="s">
        <v>210</v>
      </c>
      <c r="E48" s="13"/>
      <c r="F48" s="1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row>
    <row r="49" spans="1:31" ht="18.75">
      <c r="A49" s="34"/>
      <c r="B49" s="10"/>
      <c r="C49" s="12"/>
      <c r="D49" s="13" t="s">
        <v>219</v>
      </c>
      <c r="E49" s="13"/>
      <c r="F49" s="1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row>
    <row r="50" spans="1:31" ht="18.75">
      <c r="A50" s="34"/>
      <c r="B50" s="10"/>
      <c r="C50" s="12"/>
      <c r="D50" s="13" t="s">
        <v>108</v>
      </c>
      <c r="E50" s="13"/>
      <c r="F50" s="1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row>
    <row r="51" spans="1:31" ht="18.75">
      <c r="A51" s="34"/>
      <c r="B51" s="10"/>
      <c r="C51" s="12"/>
      <c r="D51" s="13" t="s">
        <v>109</v>
      </c>
      <c r="E51" s="13"/>
      <c r="F51" s="1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row>
    <row r="52" spans="1:31" ht="18.75">
      <c r="A52" s="34"/>
      <c r="B52" s="10"/>
      <c r="C52" s="12"/>
      <c r="D52" s="13"/>
      <c r="E52" s="13"/>
      <c r="F52" s="1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row>
    <row r="53" spans="1:31" ht="18.75">
      <c r="A53" s="34"/>
      <c r="B53" s="10"/>
      <c r="C53" s="12" t="s">
        <v>211</v>
      </c>
      <c r="D53" s="13"/>
      <c r="E53" s="13"/>
      <c r="F53" s="1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row>
    <row r="54" spans="1:31" ht="18.75">
      <c r="A54" s="34"/>
      <c r="B54" s="10"/>
      <c r="C54" s="12"/>
      <c r="D54" s="13" t="s">
        <v>215</v>
      </c>
      <c r="E54" s="13"/>
      <c r="F54" s="1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row>
    <row r="55" spans="1:31" ht="18.75">
      <c r="A55" s="34"/>
      <c r="B55" s="10"/>
      <c r="C55" s="12"/>
      <c r="D55" s="13" t="s">
        <v>216</v>
      </c>
      <c r="E55" s="13"/>
      <c r="F55" s="1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row>
    <row r="56" spans="1:31" ht="18.75">
      <c r="A56" s="34"/>
      <c r="B56" s="10"/>
      <c r="C56" s="12"/>
      <c r="D56" s="13" t="s">
        <v>220</v>
      </c>
      <c r="E56" s="13"/>
      <c r="F56" s="1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row>
    <row r="57" spans="1:31" ht="18.75">
      <c r="A57" s="34"/>
      <c r="B57" s="10"/>
      <c r="C57" s="12"/>
      <c r="D57" s="13" t="s">
        <v>217</v>
      </c>
      <c r="E57" s="13"/>
      <c r="F57" s="1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row>
    <row r="58" spans="1:31" ht="18.75">
      <c r="A58" s="34"/>
      <c r="B58" s="10"/>
      <c r="C58" s="12"/>
      <c r="D58" s="13" t="s">
        <v>218</v>
      </c>
      <c r="E58" s="13"/>
      <c r="F58" s="1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row>
    <row r="59" spans="1:31" ht="18.75">
      <c r="A59" s="34"/>
      <c r="B59" s="10"/>
      <c r="C59" s="12"/>
      <c r="D59" s="13"/>
      <c r="E59" s="13"/>
      <c r="F59" s="1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row>
    <row r="60" spans="1:31" ht="18.75">
      <c r="A60" s="34"/>
      <c r="B60" s="10"/>
      <c r="C60" s="12" t="s">
        <v>212</v>
      </c>
      <c r="D60" s="13"/>
      <c r="E60" s="13"/>
      <c r="F60" s="1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row>
    <row r="61" spans="1:31" ht="18.75">
      <c r="A61" s="34"/>
      <c r="B61" s="10"/>
      <c r="C61" s="12"/>
      <c r="D61" s="13" t="s">
        <v>244</v>
      </c>
      <c r="E61" s="13"/>
      <c r="F61" s="1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row>
    <row r="62" spans="1:31" ht="18.75">
      <c r="A62" s="34"/>
      <c r="B62" s="10"/>
      <c r="C62" s="12"/>
      <c r="D62" s="13" t="s">
        <v>245</v>
      </c>
      <c r="E62" s="13"/>
      <c r="F62" s="1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row>
    <row r="63" spans="1:31" ht="18.75">
      <c r="A63" s="34"/>
      <c r="B63" s="10"/>
      <c r="C63" s="12"/>
      <c r="D63" s="13" t="s">
        <v>111</v>
      </c>
      <c r="E63" s="13"/>
      <c r="F63" s="1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row>
    <row r="64" spans="1:31" ht="18.75">
      <c r="A64" s="34"/>
      <c r="B64" s="10"/>
      <c r="C64" s="12"/>
      <c r="D64" s="13" t="s">
        <v>160</v>
      </c>
      <c r="E64" s="13"/>
      <c r="F64" s="1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row>
    <row r="65" spans="1:31" ht="18.75">
      <c r="A65" s="34"/>
      <c r="B65" s="10"/>
      <c r="C65" s="12"/>
      <c r="D65" s="13" t="s">
        <v>165</v>
      </c>
      <c r="E65" s="13"/>
      <c r="F65" s="1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row>
    <row r="66" spans="1:31" ht="18.75">
      <c r="A66" s="34"/>
      <c r="B66" s="10"/>
      <c r="C66" s="12"/>
      <c r="D66" s="13" t="s">
        <v>179</v>
      </c>
      <c r="E66" s="13"/>
      <c r="F66" s="1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row r="67" spans="1:31" ht="18.75">
      <c r="A67" s="34"/>
      <c r="B67" s="10"/>
      <c r="C67" s="12"/>
      <c r="D67" s="13"/>
      <c r="E67" s="13"/>
      <c r="F67" s="1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row>
    <row r="68" spans="1:31" ht="18.75">
      <c r="A68" s="34"/>
      <c r="B68" s="10"/>
      <c r="C68" s="12" t="s">
        <v>213</v>
      </c>
      <c r="D68" s="13"/>
      <c r="E68" s="13"/>
      <c r="F68" s="1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row>
    <row r="69" spans="1:31" ht="18.75">
      <c r="A69" s="34"/>
      <c r="B69" s="10"/>
      <c r="C69" s="12"/>
      <c r="D69" s="22" t="s">
        <v>33</v>
      </c>
      <c r="E69" s="13"/>
      <c r="F69" s="1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row>
    <row r="70" spans="1:31" ht="18.75">
      <c r="A70" s="34"/>
      <c r="B70" s="10"/>
      <c r="C70" s="12"/>
      <c r="D70" s="23" t="s">
        <v>34</v>
      </c>
      <c r="E70" s="13"/>
      <c r="F70" s="1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row>
    <row r="71" spans="1:31" ht="18.75">
      <c r="A71" s="34"/>
      <c r="B71" s="10"/>
      <c r="C71" s="12"/>
      <c r="D71" s="23" t="s">
        <v>35</v>
      </c>
      <c r="E71" s="13"/>
      <c r="F71" s="1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row>
    <row r="72" spans="1:31" ht="18.75">
      <c r="A72" s="34"/>
      <c r="B72" s="10"/>
      <c r="C72" s="12"/>
      <c r="D72" s="23" t="s">
        <v>36</v>
      </c>
      <c r="E72" s="13"/>
      <c r="F72" s="1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row>
    <row r="73" spans="1:31" ht="18.75">
      <c r="A73" s="34"/>
      <c r="B73" s="10"/>
      <c r="C73" s="12"/>
      <c r="D73" s="23" t="s">
        <v>37</v>
      </c>
      <c r="E73" s="13"/>
      <c r="F73" s="1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row>
    <row r="74" spans="1:31" ht="18.75">
      <c r="A74" s="34"/>
      <c r="B74" s="10"/>
      <c r="C74" s="12"/>
      <c r="D74" s="23" t="s">
        <v>38</v>
      </c>
      <c r="E74" s="13"/>
      <c r="F74" s="1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row>
    <row r="75" spans="1:31" ht="18.75">
      <c r="A75" s="34"/>
      <c r="B75" s="10"/>
      <c r="C75" s="12"/>
      <c r="D75" s="23" t="s">
        <v>39</v>
      </c>
      <c r="E75" s="13"/>
      <c r="F75" s="1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row>
    <row r="76" spans="1:31" ht="18.75">
      <c r="A76" s="34"/>
      <c r="B76" s="10"/>
      <c r="C76" s="12"/>
      <c r="D76" s="23" t="s">
        <v>40</v>
      </c>
      <c r="E76" s="13"/>
      <c r="F76" s="1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row>
    <row r="77" spans="1:31" ht="18.75">
      <c r="A77" s="34"/>
      <c r="B77" s="10"/>
      <c r="C77" s="12"/>
      <c r="D77" s="23" t="s">
        <v>41</v>
      </c>
      <c r="E77" s="13"/>
      <c r="F77" s="1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row>
    <row r="78" spans="1:31" ht="18.75">
      <c r="A78" s="34"/>
      <c r="B78" s="10"/>
      <c r="C78" s="12"/>
      <c r="D78" s="23" t="s">
        <v>42</v>
      </c>
      <c r="E78" s="13"/>
      <c r="F78" s="1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row>
    <row r="79" spans="1:31" ht="18.75">
      <c r="A79" s="34"/>
      <c r="B79" s="10"/>
      <c r="C79" s="12"/>
      <c r="D79" s="23" t="s">
        <v>43</v>
      </c>
      <c r="E79" s="13"/>
      <c r="F79" s="1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row>
    <row r="80" spans="1:31" ht="18.75">
      <c r="A80" s="34"/>
      <c r="B80" s="10"/>
      <c r="C80" s="12"/>
      <c r="D80" s="23" t="s">
        <v>44</v>
      </c>
      <c r="E80" s="13"/>
      <c r="F80" s="1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row>
    <row r="81" spans="1:31" ht="18.75">
      <c r="A81" s="34"/>
      <c r="B81" s="10"/>
      <c r="C81" s="12"/>
      <c r="D81" s="13"/>
      <c r="E81" s="13"/>
      <c r="F81" s="1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row>
    <row r="82" spans="1:31" ht="18.75">
      <c r="A82" s="34"/>
      <c r="B82" s="10"/>
      <c r="C82" s="12"/>
      <c r="D82" s="24" t="s">
        <v>45</v>
      </c>
      <c r="E82" s="13"/>
      <c r="F82" s="1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row>
    <row r="83" spans="1:31" ht="18.75">
      <c r="A83" s="34"/>
      <c r="B83" s="10"/>
      <c r="C83" s="12"/>
      <c r="D83" s="23" t="s">
        <v>46</v>
      </c>
      <c r="E83" s="13"/>
      <c r="F83" s="1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row>
    <row r="84" spans="1:31" ht="18.75">
      <c r="A84" s="34"/>
      <c r="B84" s="10"/>
      <c r="C84" s="12"/>
      <c r="D84" s="23" t="s">
        <v>47</v>
      </c>
      <c r="E84" s="13"/>
      <c r="F84" s="1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row>
    <row r="85" spans="1:31" ht="18.75">
      <c r="A85" s="34"/>
      <c r="B85" s="10"/>
      <c r="C85" s="12"/>
      <c r="D85" s="23" t="s">
        <v>48</v>
      </c>
      <c r="E85" s="13"/>
      <c r="F85" s="1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row>
    <row r="86" spans="1:31" ht="18.75">
      <c r="A86" s="34"/>
      <c r="B86" s="10"/>
      <c r="C86" s="12"/>
      <c r="D86" s="23" t="s">
        <v>49</v>
      </c>
      <c r="E86" s="13"/>
      <c r="F86" s="1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row>
    <row r="87" spans="1:31" ht="18.75">
      <c r="A87" s="34"/>
      <c r="B87" s="10"/>
      <c r="C87" s="12"/>
      <c r="D87" s="23" t="s">
        <v>50</v>
      </c>
      <c r="E87" s="13"/>
      <c r="F87" s="1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row>
    <row r="88" spans="1:31" ht="18.75">
      <c r="A88" s="34"/>
      <c r="B88" s="10"/>
      <c r="C88" s="12"/>
      <c r="D88" s="23" t="s">
        <v>51</v>
      </c>
      <c r="E88" s="13"/>
      <c r="F88" s="1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row>
    <row r="89" spans="1:31" ht="18.75">
      <c r="A89" s="34"/>
      <c r="B89" s="10"/>
      <c r="C89" s="12"/>
      <c r="D89" s="23"/>
      <c r="E89" s="13"/>
      <c r="F89" s="1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row>
    <row r="90" spans="1:31" ht="18.75">
      <c r="A90" s="34"/>
      <c r="B90" s="10"/>
      <c r="C90" s="12" t="s">
        <v>214</v>
      </c>
      <c r="D90" s="23"/>
      <c r="E90" s="13"/>
      <c r="F90" s="1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row>
    <row r="91" spans="1:31" ht="18.75">
      <c r="A91" s="34"/>
      <c r="B91" s="10"/>
      <c r="C91" s="12"/>
      <c r="D91" s="13" t="s">
        <v>243</v>
      </c>
      <c r="E91" s="13"/>
      <c r="F91" s="1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row>
    <row r="92" spans="1:31" ht="18.75">
      <c r="A92" s="34"/>
      <c r="B92" s="10"/>
      <c r="C92" s="12"/>
      <c r="D92" s="13" t="s">
        <v>203</v>
      </c>
      <c r="E92" s="13"/>
      <c r="F92" s="1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row>
    <row r="93" spans="1:31" ht="18.75">
      <c r="A93" s="34"/>
      <c r="B93" s="10"/>
      <c r="C93" s="12"/>
      <c r="D93" s="13" t="s">
        <v>204</v>
      </c>
      <c r="E93" s="13"/>
      <c r="F93" s="1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row>
    <row r="94" spans="1:31" ht="19.5" thickBot="1">
      <c r="A94" s="34"/>
      <c r="B94" s="16"/>
      <c r="C94" s="17"/>
      <c r="D94" s="18" t="s">
        <v>202</v>
      </c>
      <c r="E94" s="18"/>
      <c r="F94" s="19"/>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row>
    <row r="95" spans="1:31">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row>
    <row r="96" spans="1:31">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row>
    <row r="97" spans="1:31">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row>
    <row r="98" spans="1:31">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row>
    <row r="99" spans="1:31">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row>
    <row r="100" spans="1:31">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row>
    <row r="101" spans="1:31">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row>
    <row r="102" spans="1:31">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row>
    <row r="103" spans="1:31">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row>
    <row r="104" spans="1:31">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row>
    <row r="105" spans="1:31">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row>
    <row r="106" spans="1:31">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row>
    <row r="107" spans="1:31">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row>
    <row r="108" spans="1:31">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row>
    <row r="109" spans="1:31">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row>
    <row r="110" spans="1:31">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row>
    <row r="111" spans="1:31">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row>
    <row r="112" spans="1:31">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row>
    <row r="113" spans="1:31">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row>
    <row r="114" spans="1:31">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row>
    <row r="115" spans="1:31">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row>
    <row r="116" spans="1:31">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row>
    <row r="117" spans="1:31">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row>
    <row r="118" spans="1:31">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row>
    <row r="119" spans="1:31">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row>
    <row r="120" spans="1:31">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row>
    <row r="121" spans="1:31">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row>
    <row r="122" spans="1:31">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row>
    <row r="123" spans="1:31">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row>
    <row r="124" spans="1:31">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row>
    <row r="125" spans="1:31">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row>
    <row r="126" spans="1:31">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row>
    <row r="127" spans="1:31">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row>
    <row r="128" spans="1:31">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row>
    <row r="129" spans="1:31">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row>
    <row r="130" spans="1:31">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row>
    <row r="131" spans="1:31">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row>
    <row r="132" spans="1:31">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row>
    <row r="133" spans="1:31">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row>
    <row r="134" spans="1:31">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row>
    <row r="135" spans="1:31">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row>
    <row r="136" spans="1:31">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row>
    <row r="137" spans="1:31">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row>
    <row r="138" spans="1:31">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row>
    <row r="139" spans="1:31">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row>
  </sheetData>
  <mergeCells count="1">
    <mergeCell ref="C5:E5"/>
  </mergeCells>
  <hyperlinks>
    <hyperlink ref="D10:E10" location="FILEHOLD_REF" display="Update the FileHold reference in cell B10 on the &quot;Title &amp; revision&quot; spreadsheet" xr:uid="{00000000-0004-0000-0300-000000000000}"/>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Feuil9"/>
  <dimension ref="B1:R289"/>
  <sheetViews>
    <sheetView topLeftCell="P1" workbookViewId="0">
      <selection activeCell="T9" sqref="T9"/>
    </sheetView>
  </sheetViews>
  <sheetFormatPr defaultColWidth="11.42578125" defaultRowHeight="15"/>
  <cols>
    <col min="1" max="1" width="4.28515625" customWidth="1"/>
    <col min="2" max="2" width="15.140625" bestFit="1" customWidth="1"/>
    <col min="4" max="4" width="52.42578125" bestFit="1" customWidth="1"/>
    <col min="5" max="5" width="11.42578125" style="34"/>
    <col min="6" max="6" width="14.7109375" style="34" bestFit="1" customWidth="1"/>
    <col min="7" max="7" width="15.140625" style="34" bestFit="1" customWidth="1"/>
    <col min="8" max="8" width="14.7109375" style="34" bestFit="1" customWidth="1"/>
    <col min="9" max="9" width="15.140625" style="34" bestFit="1" customWidth="1"/>
    <col min="10" max="15" width="15.140625" style="34" customWidth="1"/>
    <col min="16" max="16" width="39" style="34" bestFit="1" customWidth="1"/>
    <col min="17" max="18" width="11.42578125" style="34"/>
  </cols>
  <sheetData>
    <row r="1" spans="2:18" s="34" customFormat="1"/>
    <row r="2" spans="2:18" s="34" customFormat="1"/>
    <row r="3" spans="2:18">
      <c r="B3" s="35" t="s">
        <v>12</v>
      </c>
      <c r="C3" s="35" t="s">
        <v>16</v>
      </c>
      <c r="D3" s="35" t="s">
        <v>32</v>
      </c>
      <c r="F3" s="35" t="str">
        <f>Requirements!H2</f>
        <v>AR Series Status</v>
      </c>
      <c r="G3" s="35" t="str">
        <f>Requirements!J2</f>
        <v>WP Series Status</v>
      </c>
      <c r="H3" s="35" t="str">
        <f>Requirements!L2</f>
        <v>HL Series Status</v>
      </c>
      <c r="I3" s="35" t="str">
        <f>Requirements!N2</f>
        <v>EM/MC Series Status</v>
      </c>
      <c r="J3" s="35" t="str">
        <f>Requirements!P2</f>
        <v>HL7800 (Phase 1)
Status</v>
      </c>
      <c r="K3" s="35" t="str">
        <f>Requirements!R2</f>
        <v>Product06 Status</v>
      </c>
      <c r="L3" s="35" t="str">
        <f>Requirements!T2</f>
        <v>Product07 Status</v>
      </c>
      <c r="M3" s="35" t="str">
        <f>Requirements!V2</f>
        <v>Product08 Status</v>
      </c>
      <c r="N3" s="35" t="str">
        <f>Requirements!X2</f>
        <v>Product09 Status</v>
      </c>
      <c r="O3" s="35" t="str">
        <f>Requirements!Z2</f>
        <v>Product10 Status</v>
      </c>
      <c r="P3" s="35" t="s">
        <v>31</v>
      </c>
      <c r="R3" s="35" t="s">
        <v>206</v>
      </c>
    </row>
    <row r="4" spans="2:18">
      <c r="B4" s="4" t="s">
        <v>4</v>
      </c>
      <c r="C4" s="4" t="s">
        <v>13</v>
      </c>
      <c r="D4" s="4" t="s">
        <v>65</v>
      </c>
      <c r="F4" s="4" t="s">
        <v>4</v>
      </c>
      <c r="G4" s="4"/>
      <c r="H4" s="4"/>
      <c r="I4" s="4"/>
      <c r="J4" s="4"/>
      <c r="K4" s="4"/>
      <c r="L4" s="4"/>
      <c r="M4" s="4"/>
      <c r="N4" s="4"/>
      <c r="O4" s="4"/>
      <c r="P4" s="4" t="s">
        <v>167</v>
      </c>
      <c r="R4" s="114" t="str">
        <f>LEFT(F3,(FIND(" ",F3)-1))</f>
        <v>AR</v>
      </c>
    </row>
    <row r="5" spans="2:18">
      <c r="B5" s="4" t="s">
        <v>25</v>
      </c>
      <c r="C5" s="4" t="s">
        <v>14</v>
      </c>
      <c r="D5" s="4" t="s">
        <v>66</v>
      </c>
      <c r="F5" s="4" t="s">
        <v>159</v>
      </c>
      <c r="G5" s="4"/>
      <c r="H5" s="4"/>
      <c r="I5" s="4"/>
      <c r="J5" s="4"/>
      <c r="K5" s="4"/>
      <c r="L5" s="4"/>
      <c r="M5" s="4"/>
      <c r="N5" s="4"/>
      <c r="O5" s="4"/>
      <c r="P5" s="4" t="s">
        <v>167</v>
      </c>
      <c r="R5" s="114" t="str">
        <f>LEFT(G3,(FIND(" ",G3)-1))</f>
        <v>WP</v>
      </c>
    </row>
    <row r="6" spans="2:18">
      <c r="B6" s="4" t="s">
        <v>5</v>
      </c>
      <c r="C6" s="4" t="s">
        <v>15</v>
      </c>
      <c r="D6" s="4" t="s">
        <v>67</v>
      </c>
      <c r="F6" s="4"/>
      <c r="G6" s="4" t="s">
        <v>4</v>
      </c>
      <c r="H6" s="4"/>
      <c r="I6" s="4"/>
      <c r="J6" s="4"/>
      <c r="K6" s="4"/>
      <c r="L6" s="4"/>
      <c r="M6" s="4"/>
      <c r="N6" s="4"/>
      <c r="O6" s="4"/>
      <c r="P6" s="4" t="s">
        <v>167</v>
      </c>
      <c r="R6" s="114" t="str">
        <f>LEFT(H3,(FIND(" ",H3)-1))</f>
        <v>HL</v>
      </c>
    </row>
    <row r="7" spans="2:18">
      <c r="B7" s="4" t="s">
        <v>159</v>
      </c>
      <c r="C7" s="5"/>
      <c r="D7" s="4" t="s">
        <v>68</v>
      </c>
      <c r="F7" s="4"/>
      <c r="G7" s="4" t="s">
        <v>159</v>
      </c>
      <c r="H7" s="4"/>
      <c r="I7" s="4"/>
      <c r="J7" s="4"/>
      <c r="K7" s="4"/>
      <c r="L7" s="4"/>
      <c r="M7" s="4"/>
      <c r="N7" s="4"/>
      <c r="O7" s="4"/>
      <c r="P7" s="4" t="s">
        <v>167</v>
      </c>
      <c r="R7" s="114" t="str">
        <f>LEFT(I3,(FIND(" ",I3)-1))</f>
        <v>EM/MC</v>
      </c>
    </row>
    <row r="8" spans="2:18">
      <c r="B8" s="4" t="s">
        <v>178</v>
      </c>
      <c r="C8" s="5"/>
      <c r="D8" s="4" t="s">
        <v>69</v>
      </c>
      <c r="F8" s="4"/>
      <c r="G8" s="4"/>
      <c r="H8" s="4" t="s">
        <v>4</v>
      </c>
      <c r="I8" s="4"/>
      <c r="J8" s="4"/>
      <c r="K8" s="4"/>
      <c r="L8" s="4"/>
      <c r="M8" s="4"/>
      <c r="N8" s="4"/>
      <c r="O8" s="4"/>
      <c r="P8" s="4" t="s">
        <v>167</v>
      </c>
      <c r="R8" s="114" t="str">
        <f>LEFT(J3,(FIND(" ",J3)-1))</f>
        <v>HL7800</v>
      </c>
    </row>
    <row r="9" spans="2:18">
      <c r="B9" s="4"/>
      <c r="C9" s="5"/>
      <c r="D9" s="4" t="s">
        <v>70</v>
      </c>
      <c r="F9" s="4"/>
      <c r="G9" s="4"/>
      <c r="H9" s="4" t="s">
        <v>159</v>
      </c>
      <c r="I9" s="4"/>
      <c r="J9" s="4"/>
      <c r="K9" s="4"/>
      <c r="L9" s="4"/>
      <c r="M9" s="4"/>
      <c r="N9" s="4"/>
      <c r="O9" s="4"/>
      <c r="P9" s="4" t="s">
        <v>167</v>
      </c>
      <c r="R9" s="114" t="str">
        <f>LEFT(K3,(FIND(" ",K3)-1))</f>
        <v>Product06</v>
      </c>
    </row>
    <row r="10" spans="2:18">
      <c r="B10" s="5"/>
      <c r="C10" s="5"/>
      <c r="D10" s="4" t="s">
        <v>71</v>
      </c>
      <c r="F10" s="4"/>
      <c r="G10" s="4"/>
      <c r="H10" s="4"/>
      <c r="I10" s="4" t="s">
        <v>4</v>
      </c>
      <c r="J10" s="4"/>
      <c r="K10" s="4"/>
      <c r="L10" s="4"/>
      <c r="M10" s="4"/>
      <c r="N10" s="4"/>
      <c r="O10" s="4"/>
      <c r="P10" s="4" t="s">
        <v>167</v>
      </c>
      <c r="R10" s="114" t="str">
        <f>LEFT(L3,(FIND(" ",L3)-1))</f>
        <v>Product07</v>
      </c>
    </row>
    <row r="11" spans="2:18">
      <c r="B11" s="5"/>
      <c r="C11" s="5"/>
      <c r="D11" s="4" t="s">
        <v>72</v>
      </c>
      <c r="F11" s="4"/>
      <c r="G11" s="4"/>
      <c r="H11" s="4"/>
      <c r="I11" s="4" t="s">
        <v>159</v>
      </c>
      <c r="J11" s="4"/>
      <c r="K11" s="4"/>
      <c r="L11" s="4"/>
      <c r="M11" s="4"/>
      <c r="N11" s="4"/>
      <c r="O11" s="4"/>
      <c r="P11" s="4" t="s">
        <v>167</v>
      </c>
      <c r="R11" s="114" t="str">
        <f>LEFT(M3,(FIND(" ",M3)-1))</f>
        <v>Product08</v>
      </c>
    </row>
    <row r="12" spans="2:18">
      <c r="B12" s="5"/>
      <c r="C12" s="5"/>
      <c r="D12" s="4" t="s">
        <v>73</v>
      </c>
      <c r="F12" s="4"/>
      <c r="G12" s="4"/>
      <c r="H12" s="4"/>
      <c r="I12" s="4"/>
      <c r="J12" s="4" t="s">
        <v>4</v>
      </c>
      <c r="K12" s="4"/>
      <c r="L12" s="4"/>
      <c r="M12" s="4"/>
      <c r="N12" s="4"/>
      <c r="O12" s="4"/>
      <c r="P12" s="4" t="s">
        <v>167</v>
      </c>
      <c r="R12" s="114" t="str">
        <f>LEFT(N3,(FIND(" ",N3)-1))</f>
        <v>Product09</v>
      </c>
    </row>
    <row r="13" spans="2:18">
      <c r="B13" s="5"/>
      <c r="C13" s="5"/>
      <c r="D13" s="4" t="s">
        <v>74</v>
      </c>
      <c r="F13" s="4"/>
      <c r="G13" s="4"/>
      <c r="H13" s="4"/>
      <c r="I13" s="4"/>
      <c r="J13" s="4" t="s">
        <v>159</v>
      </c>
      <c r="K13" s="4"/>
      <c r="L13" s="4"/>
      <c r="M13" s="4"/>
      <c r="N13" s="4"/>
      <c r="O13" s="4"/>
      <c r="P13" s="4" t="s">
        <v>167</v>
      </c>
      <c r="R13" s="114" t="str">
        <f>LEFT(O3,(FIND(" ",O3)-1))</f>
        <v>Product10</v>
      </c>
    </row>
    <row r="14" spans="2:18">
      <c r="B14" s="5"/>
      <c r="C14" s="5"/>
      <c r="D14" s="4" t="s">
        <v>88</v>
      </c>
      <c r="F14" s="4"/>
      <c r="G14" s="4"/>
      <c r="H14" s="4"/>
      <c r="I14" s="4"/>
      <c r="J14" s="4"/>
      <c r="K14" s="4" t="s">
        <v>4</v>
      </c>
      <c r="L14" s="4"/>
      <c r="M14" s="4"/>
      <c r="N14" s="4"/>
      <c r="O14" s="4"/>
      <c r="P14" s="4" t="s">
        <v>167</v>
      </c>
      <c r="R14" s="34" t="s">
        <v>236</v>
      </c>
    </row>
    <row r="15" spans="2:18">
      <c r="B15" s="5"/>
      <c r="C15" s="5"/>
      <c r="D15" s="4" t="s">
        <v>75</v>
      </c>
      <c r="F15" s="4"/>
      <c r="G15" s="4"/>
      <c r="H15" s="4"/>
      <c r="I15" s="4"/>
      <c r="J15" s="4"/>
      <c r="K15" s="4" t="s">
        <v>159</v>
      </c>
      <c r="L15" s="4"/>
      <c r="M15" s="4"/>
      <c r="N15" s="4"/>
      <c r="O15" s="4"/>
      <c r="P15" s="4" t="s">
        <v>167</v>
      </c>
    </row>
    <row r="16" spans="2:18">
      <c r="B16" s="5"/>
      <c r="C16" s="5"/>
      <c r="D16" s="26" t="s">
        <v>76</v>
      </c>
      <c r="F16" s="4"/>
      <c r="G16" s="4"/>
      <c r="H16" s="4"/>
      <c r="I16" s="4"/>
      <c r="J16" s="4"/>
      <c r="K16" s="4"/>
      <c r="L16" s="4" t="s">
        <v>4</v>
      </c>
      <c r="M16" s="4"/>
      <c r="N16" s="4"/>
      <c r="O16" s="4"/>
      <c r="P16" s="4" t="s">
        <v>167</v>
      </c>
    </row>
    <row r="17" spans="2:16">
      <c r="B17" s="5"/>
      <c r="C17" s="5"/>
      <c r="D17" s="27" t="s">
        <v>77</v>
      </c>
      <c r="F17" s="4"/>
      <c r="G17" s="4"/>
      <c r="H17" s="4"/>
      <c r="I17" s="4"/>
      <c r="J17" s="4"/>
      <c r="K17" s="4"/>
      <c r="L17" s="4" t="s">
        <v>159</v>
      </c>
      <c r="M17" s="4"/>
      <c r="N17" s="4"/>
      <c r="O17" s="4"/>
      <c r="P17" s="4" t="s">
        <v>167</v>
      </c>
    </row>
    <row r="18" spans="2:16">
      <c r="B18" s="5"/>
      <c r="C18" s="5"/>
      <c r="D18" s="26" t="s">
        <v>78</v>
      </c>
      <c r="F18" s="4"/>
      <c r="G18" s="4"/>
      <c r="H18" s="4"/>
      <c r="I18" s="4"/>
      <c r="J18" s="4"/>
      <c r="K18" s="4"/>
      <c r="L18" s="4"/>
      <c r="M18" s="4" t="s">
        <v>4</v>
      </c>
      <c r="N18" s="4"/>
      <c r="O18" s="4"/>
      <c r="P18" s="4" t="s">
        <v>167</v>
      </c>
    </row>
    <row r="19" spans="2:16">
      <c r="B19" s="5"/>
      <c r="C19" s="5"/>
      <c r="D19" s="26" t="s">
        <v>79</v>
      </c>
      <c r="F19" s="4"/>
      <c r="G19" s="4"/>
      <c r="H19" s="4"/>
      <c r="I19" s="4"/>
      <c r="J19" s="4"/>
      <c r="K19" s="4"/>
      <c r="L19" s="4"/>
      <c r="M19" s="4" t="s">
        <v>159</v>
      </c>
      <c r="N19" s="4"/>
      <c r="O19" s="4"/>
      <c r="P19" s="4" t="s">
        <v>167</v>
      </c>
    </row>
    <row r="20" spans="2:16">
      <c r="B20" s="5"/>
      <c r="C20" s="5"/>
      <c r="D20" s="26" t="s">
        <v>80</v>
      </c>
      <c r="F20" s="4"/>
      <c r="G20" s="4"/>
      <c r="H20" s="4"/>
      <c r="I20" s="4"/>
      <c r="J20" s="4"/>
      <c r="K20" s="4"/>
      <c r="L20" s="4"/>
      <c r="M20" s="4"/>
      <c r="N20" s="4" t="s">
        <v>4</v>
      </c>
      <c r="O20" s="4"/>
      <c r="P20" s="4" t="s">
        <v>167</v>
      </c>
    </row>
    <row r="21" spans="2:16">
      <c r="B21" s="5"/>
      <c r="C21" s="5"/>
      <c r="D21" s="26" t="s">
        <v>83</v>
      </c>
      <c r="F21" s="4"/>
      <c r="G21" s="4"/>
      <c r="H21" s="4"/>
      <c r="I21" s="4"/>
      <c r="J21" s="4"/>
      <c r="K21" s="4"/>
      <c r="L21" s="4"/>
      <c r="M21" s="4"/>
      <c r="N21" s="4" t="s">
        <v>159</v>
      </c>
      <c r="O21" s="4"/>
      <c r="P21" s="4" t="s">
        <v>167</v>
      </c>
    </row>
    <row r="22" spans="2:16">
      <c r="B22" s="5"/>
      <c r="C22" s="5"/>
      <c r="D22" s="26" t="s">
        <v>81</v>
      </c>
      <c r="F22" s="4"/>
      <c r="G22" s="4"/>
      <c r="H22" s="4"/>
      <c r="I22" s="4"/>
      <c r="J22" s="4"/>
      <c r="K22" s="4"/>
      <c r="L22" s="4"/>
      <c r="M22" s="4"/>
      <c r="N22" s="4"/>
      <c r="O22" s="4" t="s">
        <v>4</v>
      </c>
      <c r="P22" s="4" t="s">
        <v>167</v>
      </c>
    </row>
    <row r="23" spans="2:16">
      <c r="B23" s="5"/>
      <c r="C23" s="5"/>
      <c r="D23" s="26" t="s">
        <v>82</v>
      </c>
      <c r="F23" s="4"/>
      <c r="G23" s="4"/>
      <c r="H23" s="4"/>
      <c r="I23" s="4"/>
      <c r="J23" s="4"/>
      <c r="K23" s="4"/>
      <c r="L23" s="4"/>
      <c r="M23" s="4"/>
      <c r="N23" s="4"/>
      <c r="O23" s="4" t="s">
        <v>159</v>
      </c>
      <c r="P23" s="4" t="s">
        <v>167</v>
      </c>
    </row>
    <row r="24" spans="2:16" s="34" customFormat="1">
      <c r="B24" s="5"/>
      <c r="F24" s="4"/>
      <c r="G24" s="4"/>
      <c r="H24" s="4"/>
      <c r="I24" s="4"/>
      <c r="J24" s="4"/>
      <c r="K24" s="4"/>
      <c r="L24" s="4"/>
      <c r="M24" s="4"/>
      <c r="N24" s="4"/>
      <c r="O24" s="4"/>
      <c r="P24" s="4"/>
    </row>
    <row r="25" spans="2:16" s="34" customFormat="1">
      <c r="F25" s="4"/>
      <c r="G25" s="4"/>
      <c r="H25" s="4"/>
      <c r="I25" s="4"/>
      <c r="J25" s="4"/>
      <c r="K25" s="4"/>
      <c r="L25" s="4"/>
      <c r="M25" s="4"/>
      <c r="N25" s="4"/>
      <c r="O25" s="4"/>
      <c r="P25" s="4"/>
    </row>
    <row r="26" spans="2:16" s="34" customFormat="1">
      <c r="F26" s="4"/>
      <c r="G26" s="4"/>
      <c r="H26" s="4"/>
      <c r="I26" s="4"/>
      <c r="J26" s="4"/>
      <c r="K26" s="4"/>
      <c r="L26" s="4"/>
      <c r="M26" s="4"/>
      <c r="N26" s="4"/>
      <c r="O26" s="4"/>
      <c r="P26" s="4"/>
    </row>
    <row r="27" spans="2:16" s="34" customFormat="1">
      <c r="F27" s="4"/>
      <c r="G27" s="4"/>
      <c r="H27" s="4"/>
      <c r="I27" s="4"/>
      <c r="J27" s="4"/>
      <c r="K27" s="4"/>
      <c r="L27" s="4"/>
      <c r="M27" s="4"/>
      <c r="N27" s="4"/>
      <c r="O27" s="4"/>
      <c r="P27" s="4"/>
    </row>
    <row r="28" spans="2:16" s="34" customFormat="1">
      <c r="F28" s="4"/>
      <c r="G28" s="4"/>
      <c r="H28" s="4"/>
      <c r="I28" s="4"/>
      <c r="J28" s="4"/>
      <c r="K28" s="4"/>
      <c r="L28" s="4"/>
      <c r="M28" s="4"/>
      <c r="N28" s="4"/>
      <c r="O28" s="4"/>
      <c r="P28" s="4"/>
    </row>
    <row r="29" spans="2:16" s="34" customFormat="1">
      <c r="F29" s="4"/>
      <c r="G29" s="4"/>
      <c r="H29" s="4"/>
      <c r="I29" s="4"/>
      <c r="J29" s="4"/>
      <c r="K29" s="4"/>
      <c r="L29" s="4"/>
      <c r="M29" s="4"/>
      <c r="N29" s="4"/>
      <c r="O29" s="4"/>
      <c r="P29" s="4"/>
    </row>
    <row r="30" spans="2:16" s="34" customFormat="1">
      <c r="F30" s="4"/>
      <c r="G30" s="4"/>
      <c r="H30" s="4"/>
      <c r="I30" s="4"/>
      <c r="J30" s="4"/>
      <c r="K30" s="4"/>
      <c r="L30" s="4"/>
      <c r="M30" s="4"/>
      <c r="N30" s="4"/>
      <c r="O30" s="4"/>
      <c r="P30" s="4"/>
    </row>
    <row r="31" spans="2:16" s="34" customFormat="1">
      <c r="F31" s="4"/>
      <c r="G31" s="4"/>
      <c r="H31" s="4"/>
      <c r="I31" s="4"/>
      <c r="J31" s="4"/>
      <c r="K31" s="4"/>
      <c r="L31" s="4"/>
      <c r="M31" s="4"/>
      <c r="N31" s="4"/>
      <c r="O31" s="4"/>
      <c r="P31" s="4"/>
    </row>
    <row r="32" spans="2:16" s="34" customFormat="1">
      <c r="F32" s="4"/>
      <c r="G32" s="4"/>
      <c r="H32" s="4"/>
      <c r="I32" s="4"/>
      <c r="J32" s="4"/>
      <c r="K32" s="4"/>
      <c r="L32" s="4"/>
      <c r="M32" s="4"/>
      <c r="N32" s="4"/>
      <c r="O32" s="4"/>
      <c r="P32" s="4"/>
    </row>
    <row r="33" spans="6:16" s="34" customFormat="1">
      <c r="F33" s="4"/>
      <c r="G33" s="4"/>
      <c r="H33" s="4"/>
      <c r="I33" s="4"/>
      <c r="J33" s="4"/>
      <c r="K33" s="4"/>
      <c r="L33" s="4"/>
      <c r="M33" s="4"/>
      <c r="N33" s="4"/>
      <c r="O33" s="4"/>
      <c r="P33" s="4"/>
    </row>
    <row r="34" spans="6:16" s="34" customFormat="1">
      <c r="F34" s="4"/>
      <c r="G34" s="4"/>
      <c r="H34" s="4"/>
      <c r="I34" s="4"/>
      <c r="J34" s="4"/>
      <c r="K34" s="4"/>
      <c r="L34" s="4"/>
      <c r="M34" s="4"/>
      <c r="N34" s="4"/>
      <c r="O34" s="4"/>
      <c r="P34" s="4"/>
    </row>
    <row r="35" spans="6:16" s="34" customFormat="1">
      <c r="F35" s="4"/>
      <c r="G35" s="4"/>
      <c r="H35" s="4"/>
      <c r="I35" s="4"/>
      <c r="J35" s="4"/>
      <c r="K35" s="4"/>
      <c r="L35" s="4"/>
      <c r="M35" s="4"/>
      <c r="N35" s="4"/>
      <c r="O35" s="4"/>
      <c r="P35" s="4"/>
    </row>
    <row r="36" spans="6:16" s="34" customFormat="1">
      <c r="F36" s="4"/>
      <c r="G36" s="4"/>
      <c r="H36" s="4"/>
      <c r="I36" s="4"/>
      <c r="J36" s="4"/>
      <c r="K36" s="4"/>
      <c r="L36" s="4"/>
      <c r="M36" s="4"/>
      <c r="N36" s="4"/>
      <c r="O36" s="4"/>
      <c r="P36" s="4"/>
    </row>
    <row r="37" spans="6:16" s="34" customFormat="1">
      <c r="F37" s="4"/>
      <c r="G37" s="4"/>
      <c r="H37" s="4"/>
      <c r="I37" s="4"/>
      <c r="J37" s="4"/>
      <c r="K37" s="4"/>
      <c r="L37" s="4"/>
      <c r="M37" s="4"/>
      <c r="N37" s="4"/>
      <c r="O37" s="4"/>
      <c r="P37" s="4"/>
    </row>
    <row r="38" spans="6:16" s="34" customFormat="1">
      <c r="F38" s="4"/>
      <c r="G38" s="4"/>
      <c r="H38" s="4"/>
      <c r="I38" s="4"/>
      <c r="J38" s="4"/>
      <c r="K38" s="4"/>
      <c r="L38" s="4"/>
      <c r="M38" s="4"/>
      <c r="N38" s="4"/>
      <c r="O38" s="4"/>
      <c r="P38" s="4"/>
    </row>
    <row r="39" spans="6:16" s="34" customFormat="1">
      <c r="F39" s="4"/>
      <c r="G39" s="4"/>
      <c r="H39" s="4"/>
      <c r="I39" s="4"/>
      <c r="J39" s="4"/>
      <c r="K39" s="4"/>
      <c r="L39" s="4"/>
      <c r="M39" s="4"/>
      <c r="N39" s="4"/>
      <c r="O39" s="4"/>
      <c r="P39" s="4"/>
    </row>
    <row r="40" spans="6:16" s="34" customFormat="1">
      <c r="F40" s="4"/>
      <c r="G40" s="4"/>
      <c r="H40" s="4"/>
      <c r="I40" s="4"/>
      <c r="J40" s="4"/>
      <c r="K40" s="4"/>
      <c r="L40" s="4"/>
      <c r="M40" s="4"/>
      <c r="N40" s="4"/>
      <c r="O40" s="4"/>
      <c r="P40" s="4"/>
    </row>
    <row r="41" spans="6:16" s="34" customFormat="1">
      <c r="F41" s="4"/>
      <c r="G41" s="4"/>
      <c r="H41" s="4"/>
      <c r="I41" s="4"/>
      <c r="J41" s="4"/>
      <c r="K41" s="4"/>
      <c r="L41" s="4"/>
      <c r="M41" s="4"/>
      <c r="N41" s="4"/>
      <c r="O41" s="4"/>
      <c r="P41" s="4"/>
    </row>
    <row r="42" spans="6:16" s="34" customFormat="1">
      <c r="F42" s="4"/>
      <c r="G42" s="4"/>
      <c r="H42" s="4"/>
      <c r="I42" s="4"/>
      <c r="J42" s="4"/>
      <c r="K42" s="4"/>
      <c r="L42" s="4"/>
      <c r="M42" s="4"/>
      <c r="N42" s="4"/>
      <c r="O42" s="4"/>
      <c r="P42" s="4"/>
    </row>
    <row r="43" spans="6:16" s="34" customFormat="1">
      <c r="F43" s="4"/>
      <c r="G43" s="4"/>
      <c r="H43" s="4"/>
      <c r="I43" s="4"/>
      <c r="J43" s="4"/>
      <c r="K43" s="4"/>
      <c r="L43" s="4"/>
      <c r="M43" s="4"/>
      <c r="N43" s="4"/>
      <c r="O43" s="4"/>
      <c r="P43" s="4"/>
    </row>
    <row r="44" spans="6:16" s="34" customFormat="1">
      <c r="F44" s="4"/>
      <c r="G44" s="4"/>
      <c r="H44" s="4"/>
      <c r="I44" s="4"/>
      <c r="J44" s="4"/>
      <c r="K44" s="4"/>
      <c r="L44" s="4"/>
      <c r="M44" s="4"/>
      <c r="N44" s="4"/>
      <c r="O44" s="4"/>
      <c r="P44" s="4"/>
    </row>
    <row r="45" spans="6:16" s="34" customFormat="1">
      <c r="F45" s="4"/>
      <c r="G45" s="4"/>
      <c r="H45" s="4"/>
      <c r="I45" s="4"/>
      <c r="J45" s="4"/>
      <c r="K45" s="4"/>
      <c r="L45" s="4"/>
      <c r="M45" s="4"/>
      <c r="N45" s="4"/>
      <c r="O45" s="4"/>
      <c r="P45" s="4"/>
    </row>
    <row r="46" spans="6:16" s="34" customFormat="1">
      <c r="F46" s="4"/>
      <c r="G46" s="4"/>
      <c r="H46" s="4"/>
      <c r="I46" s="4"/>
      <c r="J46" s="4"/>
      <c r="K46" s="4"/>
      <c r="L46" s="4"/>
      <c r="M46" s="4"/>
      <c r="N46" s="4"/>
      <c r="O46" s="4"/>
      <c r="P46" s="4"/>
    </row>
    <row r="47" spans="6:16" s="34" customFormat="1">
      <c r="F47" s="4"/>
      <c r="G47" s="4"/>
      <c r="H47" s="4"/>
      <c r="I47" s="4"/>
      <c r="J47" s="4"/>
      <c r="K47" s="4"/>
      <c r="L47" s="4"/>
      <c r="M47" s="4"/>
      <c r="N47" s="4"/>
      <c r="O47" s="4"/>
      <c r="P47" s="4"/>
    </row>
    <row r="48" spans="6:16" s="34" customFormat="1">
      <c r="F48" s="4"/>
      <c r="G48" s="4"/>
      <c r="H48" s="4"/>
      <c r="I48" s="4"/>
      <c r="J48" s="4"/>
      <c r="K48" s="4"/>
      <c r="L48" s="4"/>
      <c r="M48" s="4"/>
      <c r="N48" s="4"/>
      <c r="O48" s="4"/>
      <c r="P48" s="4"/>
    </row>
    <row r="49" spans="6:16" s="34" customFormat="1">
      <c r="F49" s="4"/>
      <c r="G49" s="4"/>
      <c r="H49" s="4"/>
      <c r="I49" s="4"/>
      <c r="J49" s="4"/>
      <c r="K49" s="4"/>
      <c r="L49" s="4"/>
      <c r="M49" s="4"/>
      <c r="N49" s="4"/>
      <c r="O49" s="4"/>
      <c r="P49" s="4"/>
    </row>
    <row r="50" spans="6:16" s="34" customFormat="1">
      <c r="F50" s="4"/>
      <c r="G50" s="4"/>
      <c r="H50" s="4"/>
      <c r="I50" s="4"/>
      <c r="J50" s="4"/>
      <c r="K50" s="4"/>
      <c r="L50" s="4"/>
      <c r="M50" s="4"/>
      <c r="N50" s="4"/>
      <c r="O50" s="4"/>
      <c r="P50" s="4"/>
    </row>
    <row r="51" spans="6:16" s="34" customFormat="1">
      <c r="F51" s="4"/>
      <c r="G51" s="4"/>
      <c r="H51" s="4"/>
      <c r="I51" s="4"/>
      <c r="J51" s="4"/>
      <c r="K51" s="4"/>
      <c r="L51" s="4"/>
      <c r="M51" s="4"/>
      <c r="N51" s="4"/>
      <c r="O51" s="4"/>
      <c r="P51" s="4"/>
    </row>
    <row r="52" spans="6:16" s="34" customFormat="1">
      <c r="F52" s="4"/>
      <c r="G52" s="4"/>
      <c r="H52" s="4"/>
      <c r="I52" s="4"/>
      <c r="J52" s="4"/>
      <c r="K52" s="4"/>
      <c r="L52" s="4"/>
      <c r="M52" s="4"/>
      <c r="N52" s="4"/>
      <c r="O52" s="4"/>
      <c r="P52" s="4"/>
    </row>
    <row r="53" spans="6:16" s="34" customFormat="1">
      <c r="F53" s="4"/>
      <c r="G53" s="4"/>
      <c r="H53" s="4"/>
      <c r="I53" s="4"/>
      <c r="J53" s="4"/>
      <c r="K53" s="4"/>
      <c r="L53" s="4"/>
      <c r="M53" s="4"/>
      <c r="N53" s="4"/>
      <c r="O53" s="4"/>
      <c r="P53" s="4"/>
    </row>
    <row r="54" spans="6:16" s="34" customFormat="1">
      <c r="F54" s="4"/>
      <c r="G54" s="4"/>
      <c r="H54" s="4"/>
      <c r="I54" s="4"/>
      <c r="J54" s="4"/>
      <c r="K54" s="4"/>
      <c r="L54" s="4"/>
      <c r="M54" s="4"/>
      <c r="N54" s="4"/>
      <c r="O54" s="4"/>
      <c r="P54" s="4"/>
    </row>
    <row r="55" spans="6:16" s="34" customFormat="1">
      <c r="F55" s="4"/>
      <c r="G55" s="4"/>
      <c r="H55" s="4"/>
      <c r="I55" s="4"/>
      <c r="J55" s="4"/>
      <c r="K55" s="4"/>
      <c r="L55" s="4"/>
      <c r="M55" s="4"/>
      <c r="N55" s="4"/>
      <c r="O55" s="4"/>
      <c r="P55" s="4"/>
    </row>
    <row r="56" spans="6:16" s="34" customFormat="1">
      <c r="F56" s="4"/>
      <c r="G56" s="4"/>
      <c r="H56" s="4"/>
      <c r="I56" s="4"/>
      <c r="J56" s="4"/>
      <c r="K56" s="4"/>
      <c r="L56" s="4"/>
      <c r="M56" s="4"/>
      <c r="N56" s="4"/>
      <c r="O56" s="4"/>
      <c r="P56" s="4"/>
    </row>
    <row r="57" spans="6:16" s="34" customFormat="1">
      <c r="F57" s="4"/>
      <c r="G57" s="4"/>
      <c r="H57" s="4"/>
      <c r="I57" s="4"/>
      <c r="J57" s="4"/>
      <c r="K57" s="4"/>
      <c r="L57" s="4"/>
      <c r="M57" s="4"/>
      <c r="N57" s="4"/>
      <c r="O57" s="4"/>
      <c r="P57" s="4"/>
    </row>
    <row r="58" spans="6:16" s="34" customFormat="1">
      <c r="F58" s="4"/>
      <c r="G58" s="4"/>
      <c r="H58" s="4"/>
      <c r="I58" s="4"/>
      <c r="J58" s="4"/>
      <c r="K58" s="4"/>
      <c r="L58" s="4"/>
      <c r="M58" s="4"/>
      <c r="N58" s="4"/>
      <c r="O58" s="4"/>
      <c r="P58" s="4"/>
    </row>
    <row r="59" spans="6:16" s="34" customFormat="1">
      <c r="F59" s="4"/>
      <c r="G59" s="4"/>
      <c r="H59" s="4"/>
      <c r="I59" s="4"/>
      <c r="J59" s="4"/>
      <c r="K59" s="4"/>
      <c r="L59" s="4"/>
      <c r="M59" s="4"/>
      <c r="N59" s="4"/>
      <c r="O59" s="4"/>
      <c r="P59" s="4"/>
    </row>
    <row r="60" spans="6:16" s="34" customFormat="1">
      <c r="F60" s="4"/>
      <c r="G60" s="4"/>
      <c r="H60" s="4"/>
      <c r="I60" s="4"/>
      <c r="J60" s="4"/>
      <c r="K60" s="4"/>
      <c r="L60" s="4"/>
      <c r="M60" s="4"/>
      <c r="N60" s="4"/>
      <c r="O60" s="4"/>
      <c r="P60" s="4"/>
    </row>
    <row r="61" spans="6:16" s="34" customFormat="1">
      <c r="F61" s="4"/>
      <c r="G61" s="4"/>
      <c r="H61" s="4"/>
      <c r="I61" s="4"/>
      <c r="J61" s="4"/>
      <c r="K61" s="4"/>
      <c r="L61" s="4"/>
      <c r="M61" s="4"/>
      <c r="N61" s="4"/>
      <c r="O61" s="4"/>
      <c r="P61" s="4"/>
    </row>
    <row r="62" spans="6:16" s="34" customFormat="1">
      <c r="F62" s="4"/>
      <c r="G62" s="4"/>
      <c r="H62" s="4"/>
      <c r="I62" s="4"/>
      <c r="J62" s="4"/>
      <c r="K62" s="4"/>
      <c r="L62" s="4"/>
      <c r="M62" s="4"/>
      <c r="N62" s="4"/>
      <c r="O62" s="4"/>
      <c r="P62" s="4"/>
    </row>
    <row r="63" spans="6:16" s="34" customFormat="1">
      <c r="F63" s="4"/>
      <c r="G63" s="4"/>
      <c r="H63" s="4"/>
      <c r="I63" s="4"/>
      <c r="J63" s="4"/>
      <c r="K63" s="4"/>
      <c r="L63" s="4"/>
      <c r="M63" s="4"/>
      <c r="N63" s="4"/>
      <c r="O63" s="4"/>
      <c r="P63" s="4"/>
    </row>
    <row r="64" spans="6:16" s="34" customFormat="1">
      <c r="F64" s="4"/>
      <c r="G64" s="4"/>
      <c r="H64" s="4"/>
      <c r="I64" s="4"/>
      <c r="J64" s="4"/>
      <c r="K64" s="4"/>
      <c r="L64" s="4"/>
      <c r="M64" s="4"/>
      <c r="N64" s="4"/>
      <c r="O64" s="4"/>
      <c r="P64" s="4"/>
    </row>
    <row r="65" spans="6:16" s="34" customFormat="1">
      <c r="F65" s="4"/>
      <c r="G65" s="4"/>
      <c r="H65" s="4"/>
      <c r="I65" s="4"/>
      <c r="J65" s="4"/>
      <c r="K65" s="4"/>
      <c r="L65" s="4"/>
      <c r="M65" s="4"/>
      <c r="N65" s="4"/>
      <c r="O65" s="4"/>
      <c r="P65" s="4"/>
    </row>
    <row r="66" spans="6:16" s="34" customFormat="1">
      <c r="F66" s="4"/>
      <c r="G66" s="4"/>
      <c r="H66" s="4"/>
      <c r="I66" s="4"/>
      <c r="J66" s="4"/>
      <c r="K66" s="4"/>
      <c r="L66" s="4"/>
      <c r="M66" s="4"/>
      <c r="N66" s="4"/>
      <c r="O66" s="4"/>
      <c r="P66" s="4"/>
    </row>
    <row r="67" spans="6:16" s="34" customFormat="1">
      <c r="F67" s="4"/>
      <c r="G67" s="4"/>
      <c r="H67" s="4"/>
      <c r="I67" s="4"/>
      <c r="J67" s="4"/>
      <c r="K67" s="4"/>
      <c r="L67" s="4"/>
      <c r="M67" s="4"/>
      <c r="N67" s="4"/>
      <c r="O67" s="4"/>
      <c r="P67" s="4"/>
    </row>
    <row r="68" spans="6:16" s="34" customFormat="1">
      <c r="F68" s="4"/>
      <c r="G68" s="4"/>
      <c r="H68" s="4"/>
      <c r="I68" s="4"/>
      <c r="J68" s="4"/>
      <c r="K68" s="4"/>
      <c r="L68" s="4"/>
      <c r="M68" s="4"/>
      <c r="N68" s="4"/>
      <c r="O68" s="4"/>
      <c r="P68" s="4"/>
    </row>
    <row r="69" spans="6:16" s="34" customFormat="1">
      <c r="F69" s="4"/>
      <c r="G69" s="4"/>
      <c r="H69" s="4"/>
      <c r="I69" s="4"/>
      <c r="J69" s="4"/>
      <c r="K69" s="4"/>
      <c r="L69" s="4"/>
      <c r="M69" s="4"/>
      <c r="N69" s="4"/>
      <c r="O69" s="4"/>
      <c r="P69" s="4"/>
    </row>
    <row r="70" spans="6:16" s="34" customFormat="1">
      <c r="F70" s="4"/>
      <c r="G70" s="4"/>
      <c r="H70" s="4"/>
      <c r="I70" s="4"/>
      <c r="J70" s="4"/>
      <c r="K70" s="4"/>
      <c r="L70" s="4"/>
      <c r="M70" s="4"/>
      <c r="N70" s="4"/>
      <c r="O70" s="4"/>
      <c r="P70" s="4"/>
    </row>
    <row r="71" spans="6:16" s="34" customFormat="1">
      <c r="F71" s="4"/>
      <c r="G71" s="4"/>
      <c r="H71" s="4"/>
      <c r="I71" s="4"/>
      <c r="J71" s="4"/>
      <c r="K71" s="4"/>
      <c r="L71" s="4"/>
      <c r="M71" s="4"/>
      <c r="N71" s="4"/>
      <c r="O71" s="4"/>
      <c r="P71" s="4"/>
    </row>
    <row r="72" spans="6:16" s="34" customFormat="1">
      <c r="F72" s="4"/>
      <c r="G72" s="4"/>
      <c r="H72" s="4"/>
      <c r="I72" s="4"/>
      <c r="J72" s="4"/>
      <c r="K72" s="4"/>
      <c r="L72" s="4"/>
      <c r="M72" s="4"/>
      <c r="N72" s="4"/>
      <c r="O72" s="4"/>
      <c r="P72" s="4"/>
    </row>
    <row r="73" spans="6:16" s="34" customFormat="1">
      <c r="F73" s="4"/>
      <c r="G73" s="4"/>
      <c r="H73" s="4"/>
      <c r="I73" s="4"/>
      <c r="J73" s="4"/>
      <c r="K73" s="4"/>
      <c r="L73" s="4"/>
      <c r="M73" s="4"/>
      <c r="N73" s="4"/>
      <c r="O73" s="4"/>
      <c r="P73" s="4"/>
    </row>
    <row r="74" spans="6:16" s="34" customFormat="1">
      <c r="F74" s="4"/>
      <c r="G74" s="4"/>
      <c r="H74" s="4"/>
      <c r="I74" s="4"/>
      <c r="J74" s="4"/>
      <c r="K74" s="4"/>
      <c r="L74" s="4"/>
      <c r="M74" s="4"/>
      <c r="N74" s="4"/>
      <c r="O74" s="4"/>
      <c r="P74" s="4"/>
    </row>
    <row r="75" spans="6:16" s="34" customFormat="1">
      <c r="F75" s="4"/>
      <c r="G75" s="4"/>
      <c r="H75" s="4"/>
      <c r="I75" s="4"/>
      <c r="J75" s="4"/>
      <c r="K75" s="4"/>
      <c r="L75" s="4"/>
      <c r="M75" s="4"/>
      <c r="N75" s="4"/>
      <c r="O75" s="4"/>
      <c r="P75" s="4"/>
    </row>
    <row r="76" spans="6:16" s="34" customFormat="1"/>
    <row r="77" spans="6:16" s="34" customFormat="1"/>
    <row r="78" spans="6:16" s="34" customFormat="1"/>
    <row r="79" spans="6:16" s="34" customFormat="1"/>
    <row r="80" spans="6:16" s="34" customFormat="1"/>
    <row r="81" s="34" customFormat="1"/>
    <row r="82" s="34" customFormat="1"/>
    <row r="83" s="34" customFormat="1"/>
    <row r="84" s="34" customFormat="1"/>
    <row r="85" s="34" customFormat="1"/>
    <row r="86" s="34" customFormat="1"/>
    <row r="87" s="34" customFormat="1"/>
    <row r="88" s="34" customFormat="1"/>
    <row r="89" s="34" customFormat="1"/>
    <row r="90" s="34" customFormat="1"/>
    <row r="91" s="34" customFormat="1"/>
    <row r="92" s="34" customFormat="1"/>
    <row r="93" s="34" customFormat="1"/>
    <row r="94" s="34" customFormat="1"/>
    <row r="95" s="34" customFormat="1"/>
    <row r="96" s="34" customFormat="1"/>
    <row r="97" s="34" customFormat="1"/>
    <row r="98" s="34" customFormat="1"/>
    <row r="99" s="34" customFormat="1"/>
    <row r="100" s="34" customFormat="1"/>
    <row r="101" s="34" customFormat="1"/>
    <row r="102" s="34" customFormat="1"/>
    <row r="103" s="34" customFormat="1"/>
    <row r="104" s="34" customFormat="1"/>
    <row r="105" s="34" customFormat="1"/>
    <row r="106" s="34" customFormat="1"/>
    <row r="107" s="34" customFormat="1"/>
    <row r="108" s="34" customFormat="1"/>
    <row r="109" s="34" customFormat="1"/>
    <row r="110" s="34" customFormat="1"/>
    <row r="111" s="34" customFormat="1"/>
    <row r="112" s="34" customFormat="1"/>
    <row r="113" s="34" customFormat="1"/>
    <row r="114" s="34" customFormat="1"/>
    <row r="115" s="34" customFormat="1"/>
    <row r="116" s="34" customFormat="1"/>
    <row r="117" s="34" customFormat="1"/>
    <row r="118" s="34" customFormat="1"/>
    <row r="119" s="34" customFormat="1"/>
    <row r="120" s="34" customFormat="1"/>
    <row r="121" s="34" customFormat="1"/>
    <row r="122" s="34" customFormat="1"/>
    <row r="123" s="34" customFormat="1"/>
    <row r="124" s="34" customFormat="1"/>
    <row r="125" s="34" customFormat="1"/>
    <row r="126" s="34" customFormat="1"/>
    <row r="127" s="34" customFormat="1"/>
    <row r="128" s="34" customFormat="1"/>
    <row r="129" s="34" customFormat="1"/>
    <row r="130" s="34" customFormat="1"/>
    <row r="131" s="34" customFormat="1"/>
    <row r="132" s="34" customFormat="1"/>
    <row r="133" s="34" customFormat="1"/>
    <row r="134" s="34" customFormat="1"/>
    <row r="135" s="34" customFormat="1"/>
    <row r="136" s="34" customFormat="1"/>
    <row r="137" s="34" customFormat="1"/>
    <row r="138" s="34" customFormat="1"/>
    <row r="139" s="34" customFormat="1"/>
    <row r="140" s="34" customFormat="1"/>
    <row r="141" s="34" customFormat="1"/>
    <row r="142" s="34" customFormat="1"/>
    <row r="143" s="34" customFormat="1"/>
    <row r="144" s="34" customFormat="1"/>
    <row r="145" s="34" customFormat="1"/>
    <row r="146" s="34" customFormat="1"/>
    <row r="147" s="34" customFormat="1"/>
    <row r="148" s="34" customFormat="1"/>
    <row r="149" s="34" customFormat="1"/>
    <row r="150" s="34" customFormat="1"/>
    <row r="151" s="34" customFormat="1"/>
    <row r="152" s="34" customFormat="1"/>
    <row r="153" s="34" customFormat="1"/>
    <row r="154" s="34" customFormat="1"/>
    <row r="155" s="34" customFormat="1"/>
    <row r="156" s="34" customFormat="1"/>
    <row r="157" s="34" customFormat="1"/>
    <row r="158" s="34" customFormat="1"/>
    <row r="159" s="34" customFormat="1"/>
    <row r="160" s="34" customFormat="1"/>
    <row r="161" s="34" customFormat="1"/>
    <row r="162" s="34" customFormat="1"/>
    <row r="163" s="34" customFormat="1"/>
    <row r="164" s="34" customFormat="1"/>
    <row r="165" s="34" customFormat="1"/>
    <row r="166" s="34" customFormat="1"/>
    <row r="167" s="34" customFormat="1"/>
    <row r="168" s="34" customFormat="1"/>
    <row r="169" s="34" customFormat="1"/>
    <row r="170" s="34" customFormat="1"/>
    <row r="171" s="34" customFormat="1"/>
    <row r="172" s="34" customFormat="1"/>
    <row r="173" s="34" customFormat="1"/>
    <row r="174" s="34" customFormat="1"/>
    <row r="175" s="34" customFormat="1"/>
    <row r="176" s="34" customFormat="1"/>
    <row r="177" s="34" customFormat="1"/>
    <row r="178" s="34" customFormat="1"/>
    <row r="179" s="34" customFormat="1"/>
    <row r="180" s="34" customFormat="1"/>
    <row r="181" s="34" customFormat="1"/>
    <row r="182" s="34" customFormat="1"/>
    <row r="183" s="34" customFormat="1"/>
    <row r="184" s="34" customFormat="1"/>
    <row r="185" s="34" customFormat="1"/>
    <row r="186" s="34" customFormat="1"/>
    <row r="187" s="34" customFormat="1"/>
    <row r="188" s="34" customFormat="1"/>
    <row r="189" s="34" customFormat="1"/>
    <row r="190" s="34" customFormat="1"/>
    <row r="191" s="34" customFormat="1"/>
    <row r="192" s="34" customFormat="1"/>
    <row r="193" s="34" customFormat="1"/>
    <row r="194" s="34" customFormat="1"/>
    <row r="195" s="34" customFormat="1"/>
    <row r="196" s="34" customFormat="1"/>
    <row r="197" s="34" customFormat="1"/>
    <row r="198" s="34" customFormat="1"/>
    <row r="199" s="34" customFormat="1"/>
    <row r="200" s="34" customFormat="1"/>
    <row r="201" s="34" customFormat="1"/>
    <row r="202" s="34" customFormat="1"/>
    <row r="203" s="34" customFormat="1"/>
    <row r="204" s="34" customFormat="1"/>
    <row r="205" s="34" customFormat="1"/>
    <row r="206" s="34" customFormat="1"/>
    <row r="207" s="34" customFormat="1"/>
    <row r="208" s="34" customFormat="1"/>
    <row r="209" s="34" customFormat="1"/>
    <row r="210" s="34" customFormat="1"/>
    <row r="211" s="34" customFormat="1"/>
    <row r="212" s="34" customFormat="1"/>
    <row r="213" s="34" customFormat="1"/>
    <row r="214" s="34" customFormat="1"/>
    <row r="215" s="34" customFormat="1"/>
    <row r="216" s="34" customFormat="1"/>
    <row r="217" s="34" customFormat="1"/>
    <row r="218" s="34" customFormat="1"/>
    <row r="219" s="34" customFormat="1"/>
    <row r="220" s="34" customFormat="1"/>
    <row r="221" s="34" customFormat="1"/>
    <row r="222" s="34" customFormat="1"/>
    <row r="223" s="34" customFormat="1"/>
    <row r="224" s="34" customFormat="1"/>
    <row r="225" s="34" customFormat="1"/>
    <row r="226" s="34" customFormat="1"/>
    <row r="227" s="34" customFormat="1"/>
    <row r="228" s="34" customFormat="1"/>
    <row r="229" s="34" customFormat="1"/>
    <row r="230" s="34" customFormat="1"/>
    <row r="231" s="34" customFormat="1"/>
    <row r="232" s="34" customFormat="1"/>
    <row r="233" s="34" customFormat="1"/>
    <row r="234" s="34" customFormat="1"/>
    <row r="235" s="34" customFormat="1"/>
    <row r="236" s="34" customFormat="1"/>
    <row r="237" s="34" customFormat="1"/>
    <row r="238" s="34" customFormat="1"/>
    <row r="239" s="34" customFormat="1"/>
    <row r="240" s="34" customFormat="1"/>
    <row r="241" s="34" customFormat="1"/>
    <row r="242" s="34" customFormat="1"/>
    <row r="243" s="34" customFormat="1"/>
    <row r="244" s="34" customFormat="1"/>
    <row r="245" s="34" customFormat="1"/>
    <row r="246" s="34" customFormat="1"/>
    <row r="247" s="34" customFormat="1"/>
    <row r="248" s="34" customFormat="1"/>
    <row r="249" s="34" customFormat="1"/>
    <row r="250" s="34" customFormat="1"/>
    <row r="251" s="34" customFormat="1"/>
    <row r="252" s="34" customFormat="1"/>
    <row r="253" s="34" customFormat="1"/>
    <row r="254" s="34" customFormat="1"/>
    <row r="255" s="34" customFormat="1"/>
    <row r="256" s="34" customFormat="1"/>
    <row r="257" s="34" customFormat="1"/>
    <row r="258" s="34" customFormat="1"/>
    <row r="259" s="34" customFormat="1"/>
    <row r="260" s="34" customFormat="1"/>
    <row r="261" s="34" customFormat="1"/>
    <row r="262" s="34" customFormat="1"/>
    <row r="263" s="34" customFormat="1"/>
    <row r="264" s="34" customFormat="1"/>
    <row r="265" s="34" customFormat="1"/>
    <row r="266" s="34" customFormat="1"/>
    <row r="267" s="34" customFormat="1"/>
    <row r="268" s="34" customFormat="1"/>
    <row r="269" s="34" customFormat="1"/>
    <row r="270" s="34" customFormat="1"/>
    <row r="271" s="34" customFormat="1"/>
    <row r="272" s="34" customFormat="1"/>
    <row r="273" s="34" customFormat="1"/>
    <row r="274" s="34" customFormat="1"/>
    <row r="275" s="34" customFormat="1"/>
    <row r="276" s="34" customFormat="1"/>
    <row r="277" s="34" customFormat="1"/>
    <row r="278" s="34" customFormat="1"/>
    <row r="279" s="34" customFormat="1"/>
    <row r="280" s="34" customFormat="1"/>
    <row r="281" s="34" customFormat="1"/>
    <row r="282" s="34" customFormat="1"/>
    <row r="283" s="34" customFormat="1"/>
    <row r="284" s="34" customFormat="1"/>
    <row r="285" s="34" customFormat="1"/>
    <row r="286" s="34" customFormat="1"/>
    <row r="287" s="34" customFormat="1"/>
    <row r="288" s="34" customFormat="1"/>
    <row r="289" spans="2:2">
      <c r="B289" s="34"/>
    </row>
  </sheetData>
  <pageMargins left="0.7" right="0.7" top="0.75" bottom="0.75" header="0.3" footer="0.3"/>
  <pageSetup paperSize="9" orientation="portrait" r:id="rId1"/>
  <ignoredErrors>
    <ignoredError sqref="R4:R7" unlocked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ublished="0" codeName="Feuil1"/>
  <dimension ref="B1:AK500"/>
  <sheetViews>
    <sheetView topLeftCell="A16" workbookViewId="0">
      <selection activeCell="B4" sqref="B4:AK29"/>
    </sheetView>
  </sheetViews>
  <sheetFormatPr defaultColWidth="11.42578125" defaultRowHeight="15"/>
  <cols>
    <col min="2" max="2" width="17.7109375" bestFit="1" customWidth="1"/>
    <col min="3" max="3" width="58.42578125" bestFit="1" customWidth="1"/>
    <col min="4" max="4" width="17" customWidth="1"/>
    <col min="5" max="5" width="39.28515625" bestFit="1" customWidth="1"/>
    <col min="6" max="6" width="7.85546875" bestFit="1" customWidth="1"/>
    <col min="7" max="7" width="39.28515625" bestFit="1" customWidth="1"/>
    <col min="8" max="8" width="23.85546875" bestFit="1" customWidth="1"/>
    <col min="9" max="9" width="124.42578125" bestFit="1" customWidth="1"/>
    <col min="30" max="30" width="20.28515625" bestFit="1" customWidth="1"/>
    <col min="36" max="36" width="10.140625" bestFit="1" customWidth="1"/>
  </cols>
  <sheetData>
    <row r="1" spans="2:37" ht="45.75" thickBot="1">
      <c r="B1" s="57" t="s">
        <v>142</v>
      </c>
      <c r="C1" s="57" t="s">
        <v>127</v>
      </c>
      <c r="D1" s="90" t="s">
        <v>128</v>
      </c>
      <c r="E1" s="91" t="s">
        <v>7</v>
      </c>
      <c r="F1" s="92" t="s">
        <v>0</v>
      </c>
      <c r="G1" s="93" t="s">
        <v>31</v>
      </c>
      <c r="H1" s="93" t="s">
        <v>8</v>
      </c>
      <c r="I1" s="93" t="s">
        <v>10</v>
      </c>
      <c r="J1" s="92" t="str">
        <f>Requirements!G2</f>
        <v>AR Series Priority</v>
      </c>
      <c r="K1" s="92" t="str">
        <f>Requirements!H2</f>
        <v>AR Series Status</v>
      </c>
      <c r="L1" s="92" t="str">
        <f>Requirements!I2</f>
        <v>WP Series Priority</v>
      </c>
      <c r="M1" s="92" t="str">
        <f>Requirements!J2</f>
        <v>WP Series Status</v>
      </c>
      <c r="N1" s="92" t="str">
        <f>Requirements!K2</f>
        <v>HL Series Priority</v>
      </c>
      <c r="O1" s="92" t="str">
        <f>Requirements!L2</f>
        <v>HL Series Status</v>
      </c>
      <c r="P1" s="92" t="str">
        <f>Requirements!M2</f>
        <v>EM/MC Series Priority</v>
      </c>
      <c r="Q1" s="92" t="str">
        <f>Requirements!N2</f>
        <v>EM/MC Series Status</v>
      </c>
      <c r="R1" s="92" t="str">
        <f>Requirements!O2</f>
        <v>HL7800 (Phase 1)
Priority</v>
      </c>
      <c r="S1" s="92" t="str">
        <f>Requirements!P2</f>
        <v>HL7800 (Phase 1)
Status</v>
      </c>
      <c r="T1" s="92" t="str">
        <f>Requirements!Q2</f>
        <v>Product06 Priority</v>
      </c>
      <c r="U1" s="92" t="str">
        <f>Requirements!R2</f>
        <v>Product06 Status</v>
      </c>
      <c r="V1" s="92" t="str">
        <f>Requirements!S2</f>
        <v>Product07 Priority</v>
      </c>
      <c r="W1" s="92" t="str">
        <f>Requirements!T2</f>
        <v>Product07 Status</v>
      </c>
      <c r="X1" s="92" t="str">
        <f>Requirements!U2</f>
        <v>Product08 Priority</v>
      </c>
      <c r="Y1" s="92" t="str">
        <f>Requirements!V2</f>
        <v>Product08 Status</v>
      </c>
      <c r="Z1" s="92" t="str">
        <f>Requirements!W2</f>
        <v>Product09 Priority</v>
      </c>
      <c r="AA1" s="92" t="str">
        <f>Requirements!X2</f>
        <v>Product09 Status</v>
      </c>
      <c r="AB1" s="92" t="str">
        <f>Requirements!Y2</f>
        <v>Product10 Priority</v>
      </c>
      <c r="AC1" s="92" t="str">
        <f>Requirements!Z2</f>
        <v>Product10 Status</v>
      </c>
      <c r="AD1" s="93" t="s">
        <v>9</v>
      </c>
      <c r="AE1" s="92" t="s">
        <v>30</v>
      </c>
      <c r="AF1" s="167" t="s">
        <v>223</v>
      </c>
      <c r="AG1" s="57" t="s">
        <v>93</v>
      </c>
      <c r="AH1" s="99" t="s">
        <v>24</v>
      </c>
      <c r="AI1" s="57" t="s">
        <v>3</v>
      </c>
      <c r="AJ1" s="57" t="s">
        <v>170</v>
      </c>
      <c r="AK1" s="57" t="s">
        <v>205</v>
      </c>
    </row>
    <row r="2" spans="2:37">
      <c r="AH2" s="94"/>
    </row>
    <row r="3" spans="2:37">
      <c r="B3" t="str">
        <f>IF(COUNTA(PREFIX)=0,"","Folder")</f>
        <v/>
      </c>
      <c r="E3" s="107"/>
      <c r="F3">
        <v>1</v>
      </c>
      <c r="AH3" s="94"/>
    </row>
    <row r="4" spans="2:37">
      <c r="B4" t="s">
        <v>130</v>
      </c>
      <c r="C4" t="str">
        <f>IF(COUNTA(PREFIX)=0,"",PREFIX)</f>
        <v/>
      </c>
      <c r="E4" s="107" t="s">
        <v>236</v>
      </c>
      <c r="F4">
        <v>1</v>
      </c>
      <c r="AG4" s="94"/>
      <c r="AH4" s="94"/>
    </row>
    <row r="5" spans="2:37">
      <c r="B5" t="s">
        <v>130</v>
      </c>
      <c r="C5" t="str">
        <f>IF(COUNTIF($G$24:$G$498,"=01*")=0,IF(COUNTA(PREFIX)=0,"",PREFIX),IF(COUNTA(PREFIX)=0,PRODUCT_NAME,PREFIX&amp;"\"&amp;PRODUCT_NAME))</f>
        <v/>
      </c>
      <c r="E5" s="95" t="str">
        <f>IF(COUNTIF($G$24:$G$497,"=01*")=0,PRODUCT_NAME,"01 - Air Interfaces &amp; Technologies")</f>
        <v>Product1</v>
      </c>
      <c r="F5">
        <v>1</v>
      </c>
      <c r="AG5" s="94"/>
      <c r="AH5" s="94"/>
    </row>
    <row r="6" spans="2:37">
      <c r="B6" t="s">
        <v>130</v>
      </c>
      <c r="C6" t="str">
        <f>IF(COUNTIF($G$24:$G$498,"=02*")=0,IF(COUNTA(PREFIX)=0,"",PREFIX),IF(COUNTA(PREFIX)=0,PRODUCT_NAME,PREFIX&amp;"\"&amp;PRODUCT_NAME))</f>
        <v/>
      </c>
      <c r="E6" s="95" t="str">
        <f>IF(COUNTIF($G$24:$G$497,"=02*")=0,PRODUCT_NAME,"02 - HW Interfaces")</f>
        <v>Product1</v>
      </c>
      <c r="F6">
        <v>1</v>
      </c>
      <c r="AG6" s="94"/>
      <c r="AH6" s="94"/>
    </row>
    <row r="7" spans="2:37">
      <c r="B7" t="s">
        <v>130</v>
      </c>
      <c r="C7" t="str">
        <f>IF(COUNTIF($G$24:$G$498,"=03*")=0,IF(COUNTA(PREFIX)=0,"",PREFIX),IF(COUNTA(PREFIX)=0,PRODUCT_NAME,PREFIX&amp;"\"&amp;PRODUCT_NAME))</f>
        <v/>
      </c>
      <c r="E7" s="95" t="str">
        <f>IF(COUNTIF($G$24:$G$497,"=03*")=0,PRODUCT_NAME,"03 - Chipset/Component Selection")</f>
        <v>Product1</v>
      </c>
      <c r="F7">
        <v>1</v>
      </c>
      <c r="AG7" s="94"/>
      <c r="AH7" s="94"/>
    </row>
    <row r="8" spans="2:37">
      <c r="B8" t="s">
        <v>130</v>
      </c>
      <c r="C8" t="str">
        <f>IF(COUNTIF($G$24:$G$498,"=04*")=0,IF(COUNTA(PREFIX)=0,"",PREFIX),IF(COUNTA(PREFIX)=0,PRODUCT_NAME,PREFIX&amp;"\"&amp;PRODUCT_NAME))</f>
        <v>Product1</v>
      </c>
      <c r="E8" s="95" t="str">
        <f>IF(COUNTIF($G$24:$G$497,"=04*")=0,PRODUCT_NAME,"04 - Embedded SW")</f>
        <v>04 - Embedded SW</v>
      </c>
      <c r="F8">
        <v>1</v>
      </c>
      <c r="AG8" s="94"/>
      <c r="AH8" s="94"/>
    </row>
    <row r="9" spans="2:37">
      <c r="B9" t="s">
        <v>130</v>
      </c>
      <c r="C9" t="str">
        <f>IF(COUNTIF($G$24:$G$498,"=05*")=0,IF(COUNTA(PREFIX)=0,"",PREFIX),IF(COUNTA(PREFIX)=0,PRODUCT_NAME,PREFIX&amp;"\"&amp;PRODUCT_NAME))</f>
        <v>Product1</v>
      </c>
      <c r="E9" s="95" t="str">
        <f>IF(COUNTIF($G$24:$G$497,"=05*")=0,PRODUCT_NAME,"05 - IDE, PC tools and drivers")</f>
        <v>05 - IDE, PC tools and drivers</v>
      </c>
      <c r="F9">
        <v>1</v>
      </c>
      <c r="AG9" s="94"/>
      <c r="AH9" s="94"/>
    </row>
    <row r="10" spans="2:37">
      <c r="B10" t="s">
        <v>130</v>
      </c>
      <c r="C10" t="str">
        <f>IF(COUNTIF($G$24:$G$498,"=06*")=0,IF(COUNTA(PREFIX)=0,"",PREFIX),IF(COUNTA(PREFIX)=0,PRODUCT_NAME,PREFIX&amp;"\"&amp;PRODUCT_NAME))</f>
        <v>Product1</v>
      </c>
      <c r="E10" s="95" t="str">
        <f>IF(COUNTIF($G$24:$G$497,"=06*")=0,PRODUCT_NAME,"06 - Host SW and drivers")</f>
        <v>06 - Host SW and drivers</v>
      </c>
      <c r="F10">
        <v>1</v>
      </c>
      <c r="AG10" s="94"/>
      <c r="AH10" s="94"/>
    </row>
    <row r="11" spans="2:37">
      <c r="B11" t="s">
        <v>130</v>
      </c>
      <c r="C11" t="str">
        <f>IF(COUNTIF($G$24:$G$498,"=07*")=0,IF(COUNTA(PREFIX)=0,"",PREFIX),IF(COUNTA(PREFIX)=0,PRODUCT_NAME,PREFIX&amp;"\"&amp;PRODUCT_NAME))</f>
        <v/>
      </c>
      <c r="E11" s="95" t="str">
        <f>IF(COUNTIF($G$24:$G$497,"=07*")=0,PRODUCT_NAME,"07 - Cloud Platform")</f>
        <v>Product1</v>
      </c>
      <c r="F11">
        <v>1</v>
      </c>
      <c r="AG11" s="94"/>
      <c r="AH11" s="94"/>
    </row>
    <row r="12" spans="2:37">
      <c r="B12" t="s">
        <v>130</v>
      </c>
      <c r="C12" t="str">
        <f>IF(COUNTIF($G$24:$G$498,"=08*")=0,IF(COUNTA(PREFIX)=0,"",PREFIX),IF(COUNTA(PREFIX)=0,PRODUCT_NAME,PREFIX&amp;"\"&amp;PRODUCT_NAME))</f>
        <v/>
      </c>
      <c r="E12" s="95" t="str">
        <f>IF(COUNTIF($G$24:$G$497,"=08*")=0,PRODUCT_NAME,"08 - Compatibility")</f>
        <v>Product1</v>
      </c>
      <c r="F12">
        <v>1</v>
      </c>
      <c r="AG12" s="94"/>
      <c r="AH12" s="94"/>
    </row>
    <row r="13" spans="2:37">
      <c r="B13" t="s">
        <v>130</v>
      </c>
      <c r="C13" t="str">
        <f>IF(COUNTIF($G$24:$G$498,"=09*")=0,IF(COUNTA(PREFIX)=0,"",PREFIX),IF(COUNTA(PREFIX)=0,PRODUCT_NAME,PREFIX&amp;"\"&amp;PRODUCT_NAME))</f>
        <v>Product1</v>
      </c>
      <c r="E13" s="95" t="str">
        <f>IF(COUNTIF($G$24:$G$497,"=09*")=0,PRODUCT_NAME,"09 - Performances")</f>
        <v>09 - Performances</v>
      </c>
      <c r="F13">
        <v>1</v>
      </c>
      <c r="AG13" s="94"/>
      <c r="AH13" s="94"/>
    </row>
    <row r="14" spans="2:37">
      <c r="B14" t="s">
        <v>130</v>
      </c>
      <c r="C14" t="str">
        <f>IF(COUNTIF($G$24:$G$498,"=10*")=0,IF(COUNTA(PREFIX)=0,"",PREFIX),IF(COUNTA(PREFIX)=0,PRODUCT_NAME,PREFIX&amp;"\"&amp;PRODUCT_NAME))</f>
        <v/>
      </c>
      <c r="E14" s="95" t="str">
        <f>IF(COUNTIF($G$24:$G$497,"=10*")=0,PRODUCT_NAME,"10 - Regulatory App. &amp; Env. Compliance")</f>
        <v>Product1</v>
      </c>
      <c r="F14">
        <v>1</v>
      </c>
      <c r="AG14" s="94"/>
      <c r="AH14" s="94"/>
    </row>
    <row r="15" spans="2:37">
      <c r="B15" t="s">
        <v>130</v>
      </c>
      <c r="C15" t="str">
        <f>IF(COUNTIF($G$24:$G$498,"=11*")=0,IF(COUNTA(PREFIX)=0,"",PREFIX),IF(COUNTA(PREFIX)=0,PRODUCT_NAME,PREFIX&amp;"\"&amp;PRODUCT_NAME))</f>
        <v/>
      </c>
      <c r="E15" s="95" t="str">
        <f>IF(COUNTIF($G$24:$G$497,"=11*")=0,PRODUCT_NAME,"11 - Target Carriers &amp; Market")</f>
        <v>Product1</v>
      </c>
      <c r="F15">
        <v>1</v>
      </c>
      <c r="AG15" s="94"/>
      <c r="AH15" s="94"/>
    </row>
    <row r="16" spans="2:37">
      <c r="B16" t="s">
        <v>130</v>
      </c>
      <c r="C16" t="str">
        <f>IF(COUNTIF($G$24:$G$498,"=12*")=0,IF(COUNTA(PREFIX)=0,"",PREFIX),IF(COUNTA(PREFIX)=0,PRODUCT_NAME,PREFIX&amp;"\"&amp;PRODUCT_NAME))</f>
        <v/>
      </c>
      <c r="E16" s="95" t="str">
        <f>IF(COUNTIF($E$24:$E$497,"=12.*")=0,PRODUCT_NAME,"12 - Product Costing")</f>
        <v>Product1</v>
      </c>
      <c r="F16">
        <v>1</v>
      </c>
      <c r="AG16" s="94"/>
      <c r="AH16" s="94"/>
    </row>
    <row r="17" spans="2:36">
      <c r="B17" t="s">
        <v>130</v>
      </c>
      <c r="C17" t="str">
        <f>IF(COUNTIF($G$24:$G$498,"=13*")=0,IF(COUNTA(PREFIX)=0,"",PREFIX),IF(COUNTA(PREFIX)=0,PRODUCT_NAME,PREFIX&amp;"\"&amp;PRODUCT_NAME))</f>
        <v>Product1</v>
      </c>
      <c r="E17" s="95" t="str">
        <f>IF(COUNTIF($G$24:$G$497,"=13*")=0,PRODUCT_NAME,"13 - Mechanical/Environmental/Reliability")</f>
        <v>13 - Mechanical/Environmental/Reliability</v>
      </c>
      <c r="F17">
        <v>1</v>
      </c>
      <c r="AG17" s="94"/>
      <c r="AH17" s="94"/>
    </row>
    <row r="18" spans="2:36">
      <c r="B18" t="s">
        <v>130</v>
      </c>
      <c r="C18" t="str">
        <f>IF(COUNTIF($G$24:$G$498,"=14*")=0,IF(COUNTA(PREFIX)=0,"",PREFIX),IF(COUNTA(PREFIX)=0,PRODUCT_NAME,PREFIX&amp;"\"&amp;PRODUCT_NAME))</f>
        <v/>
      </c>
      <c r="E18" s="95" t="str">
        <f>IF(COUNTIF($G$24:$G$497,"=14*")=0,PRODUCT_NAME,"14 - Manufacturing and Quality")</f>
        <v>Product1</v>
      </c>
      <c r="F18">
        <v>1</v>
      </c>
      <c r="AG18" s="94"/>
      <c r="AH18" s="94"/>
    </row>
    <row r="19" spans="2:36">
      <c r="B19" t="s">
        <v>130</v>
      </c>
      <c r="C19" t="str">
        <f>IF(COUNTIF($G$24:$G$498,"=15*")=0,IF(COUNTA(PREFIX)=0,"",PREFIX),IF(COUNTA(PREFIX)=0,PRODUCT_NAME,PREFIX&amp;"\"&amp;PRODUCT_NAME))</f>
        <v/>
      </c>
      <c r="E19" s="95" t="str">
        <f>IF(COUNTIF($G$24:$G$497,"=15*")=0,PRODUCT_NAME,"15 - Packaging")</f>
        <v>Product1</v>
      </c>
      <c r="F19">
        <v>1</v>
      </c>
      <c r="AG19" s="94"/>
      <c r="AH19" s="94"/>
    </row>
    <row r="20" spans="2:36">
      <c r="B20" t="s">
        <v>130</v>
      </c>
      <c r="C20" t="str">
        <f>IF(COUNTIF($G$24:$G$498,"=16*")=0,IF(COUNTA(PREFIX)=0,"",PREFIX),IF(COUNTA(PREFIX)=0,PRODUCT_NAME,PREFIX&amp;"\"&amp;PRODUCT_NAME))</f>
        <v/>
      </c>
      <c r="E20" s="95" t="str">
        <f>IF(COUNTIF($G$24:$G$497,"=16*")=0,PRODUCT_NAME,"16 - Documentation")</f>
        <v>Product1</v>
      </c>
      <c r="F20">
        <v>1</v>
      </c>
      <c r="AG20" s="94"/>
      <c r="AH20" s="94"/>
    </row>
    <row r="21" spans="2:36">
      <c r="B21" t="s">
        <v>130</v>
      </c>
      <c r="C21" t="str">
        <f>IF(COUNTIF($G$24:$G$498,"=17*")=0,IF(COUNTA(PREFIX)=0,"",PREFIX),IF(COUNTA(PREFIX)=0,PRODUCT_NAME,PREFIX&amp;"\"&amp;PRODUCT_NAME))</f>
        <v/>
      </c>
      <c r="E21" s="95" t="str">
        <f>IF(COUNTIF($G$24:$G$497,"=17*")=0,PRODUCT_NAME,"17 - Training")</f>
        <v>Product1</v>
      </c>
      <c r="F21">
        <v>1</v>
      </c>
      <c r="AG21" s="94"/>
      <c r="AH21" s="94"/>
    </row>
    <row r="22" spans="2:36">
      <c r="B22" t="s">
        <v>130</v>
      </c>
      <c r="C22" t="str">
        <f>IF(COUNTIF($G$24:$G$498,"=18*")=0,IF(COUNTA(PREFIX)=0,"",PREFIX),IF(COUNTA(PREFIX)=0,PRODUCT_NAME,PREFIX&amp;"\"&amp;PRODUCT_NAME))</f>
        <v/>
      </c>
      <c r="E22" s="95" t="str">
        <f>IF(COUNTIF($G$24:$G$497,"=18*")=0,PRODUCT_NAME,"18 - Development Kit")</f>
        <v>Product1</v>
      </c>
      <c r="F22">
        <v>1</v>
      </c>
      <c r="AG22" s="94"/>
      <c r="AH22" s="94"/>
    </row>
    <row r="23" spans="2:36">
      <c r="B23" t="s">
        <v>130</v>
      </c>
      <c r="C23" t="str">
        <f>IF(COUNTIF($G$24:$G$498,"=20*")=0,IF(COUNTA(PREFIX)=0,"",PREFIX),IF(COUNTA(PREFIX)=0,PRODUCT_NAME,PREFIX&amp;"\"&amp;PRODUCT_NAME))</f>
        <v/>
      </c>
      <c r="E23" s="95" t="str">
        <f>IF(COUNTIF($G$24:$G$497,"=20*")=0,PRODUCT_NAME,"20 - Use Case")</f>
        <v>Product1</v>
      </c>
      <c r="F23">
        <v>1</v>
      </c>
      <c r="AG23" s="94"/>
      <c r="AH23" s="94"/>
    </row>
    <row r="24" spans="2:36">
      <c r="B24" t="str">
        <f>IF($G24&lt;&gt;"","Requirement","")</f>
        <v>Requirement</v>
      </c>
      <c r="C24" t="str">
        <f t="shared" ref="C24:C54" si="0">IF($G24&lt;&gt;"",IF(COUNTA(PREFIX)=0,PRODUCT_NAME&amp;"\"&amp;$G24,PREFIX&amp;"\"&amp;PRODUCT_NAME&amp;"\"&amp;G24),"")</f>
        <v>Product1\04 - Embedded SW</v>
      </c>
      <c r="E24" t="s">
        <v>237</v>
      </c>
      <c r="F24">
        <v>4</v>
      </c>
      <c r="G24" t="s">
        <v>68</v>
      </c>
      <c r="H24" t="s">
        <v>184</v>
      </c>
      <c r="I24" t="s">
        <v>185</v>
      </c>
      <c r="J24" t="s">
        <v>14</v>
      </c>
      <c r="AF24" t="s">
        <v>224</v>
      </c>
      <c r="AG24" s="94"/>
      <c r="AH24" s="94">
        <v>42219.455868055556</v>
      </c>
      <c r="AI24" t="s">
        <v>126</v>
      </c>
      <c r="AJ24" t="s">
        <v>14</v>
      </c>
    </row>
    <row r="25" spans="2:36">
      <c r="B25" t="str">
        <f t="shared" ref="B25:B88" si="1">IF($G25&lt;&gt;"","Requirement","")</f>
        <v>Requirement</v>
      </c>
      <c r="C25" t="str">
        <f t="shared" si="0"/>
        <v>Product1\04 - Embedded SW</v>
      </c>
      <c r="E25" t="s">
        <v>238</v>
      </c>
      <c r="F25">
        <v>1</v>
      </c>
      <c r="G25" t="s">
        <v>68</v>
      </c>
      <c r="H25" t="s">
        <v>192</v>
      </c>
      <c r="I25" t="s">
        <v>193</v>
      </c>
      <c r="J25" t="s">
        <v>13</v>
      </c>
      <c r="AF25" t="s">
        <v>225</v>
      </c>
      <c r="AG25" s="94"/>
      <c r="AH25" s="94">
        <v>42216.642476851855</v>
      </c>
      <c r="AI25" t="s">
        <v>126</v>
      </c>
      <c r="AJ25" t="s">
        <v>13</v>
      </c>
    </row>
    <row r="26" spans="2:36">
      <c r="B26" t="str">
        <f t="shared" si="1"/>
        <v>Requirement</v>
      </c>
      <c r="C26" t="str">
        <f t="shared" si="0"/>
        <v>Product1\05 - IDE, PC tools and drivers</v>
      </c>
      <c r="E26" t="s">
        <v>239</v>
      </c>
      <c r="F26">
        <v>10</v>
      </c>
      <c r="G26" t="s">
        <v>69</v>
      </c>
      <c r="H26" t="s">
        <v>152</v>
      </c>
      <c r="I26" t="s">
        <v>153</v>
      </c>
      <c r="J26" t="s">
        <v>14</v>
      </c>
      <c r="AF26" t="s">
        <v>224</v>
      </c>
      <c r="AG26" s="94"/>
      <c r="AH26" s="94">
        <v>42216.642476851855</v>
      </c>
      <c r="AI26" t="s">
        <v>126</v>
      </c>
      <c r="AJ26" t="s">
        <v>14</v>
      </c>
    </row>
    <row r="27" spans="2:36">
      <c r="B27" t="str">
        <f t="shared" si="1"/>
        <v>Requirement</v>
      </c>
      <c r="C27" t="str">
        <f t="shared" si="0"/>
        <v>Product1\06 - Host SW and drivers</v>
      </c>
      <c r="E27" t="s">
        <v>240</v>
      </c>
      <c r="F27">
        <v>12</v>
      </c>
      <c r="G27" t="s">
        <v>70</v>
      </c>
      <c r="H27" t="s">
        <v>64</v>
      </c>
      <c r="I27" t="s">
        <v>154</v>
      </c>
      <c r="J27" t="s">
        <v>13</v>
      </c>
      <c r="AF27" t="s">
        <v>225</v>
      </c>
      <c r="AG27" s="94"/>
      <c r="AH27" s="94">
        <v>42216.642476851855</v>
      </c>
      <c r="AI27" t="s">
        <v>126</v>
      </c>
      <c r="AJ27" t="s">
        <v>13</v>
      </c>
    </row>
    <row r="28" spans="2:36">
      <c r="B28" t="str">
        <f t="shared" si="1"/>
        <v>Requirement</v>
      </c>
      <c r="C28" t="str">
        <f t="shared" si="0"/>
        <v>Product1\09 - Performances</v>
      </c>
      <c r="E28" t="s">
        <v>241</v>
      </c>
      <c r="F28">
        <v>6</v>
      </c>
      <c r="G28" t="s">
        <v>73</v>
      </c>
      <c r="H28" t="s">
        <v>2</v>
      </c>
      <c r="J28" t="s">
        <v>13</v>
      </c>
      <c r="AF28" t="s">
        <v>225</v>
      </c>
      <c r="AG28" s="94"/>
      <c r="AH28" s="94">
        <v>41963.673368055555</v>
      </c>
      <c r="AI28" t="s">
        <v>126</v>
      </c>
      <c r="AJ28" t="s">
        <v>13</v>
      </c>
    </row>
    <row r="29" spans="2:36">
      <c r="B29" t="str">
        <f t="shared" si="1"/>
        <v>Requirement</v>
      </c>
      <c r="C29" t="str">
        <f t="shared" si="0"/>
        <v>Product1\13 - Mechanical/Environmental/Reliability</v>
      </c>
      <c r="E29" t="s">
        <v>242</v>
      </c>
      <c r="F29">
        <v>10</v>
      </c>
      <c r="G29" t="s">
        <v>76</v>
      </c>
      <c r="H29" t="s">
        <v>156</v>
      </c>
      <c r="I29" t="s">
        <v>157</v>
      </c>
      <c r="J29" t="s">
        <v>14</v>
      </c>
      <c r="AD29" t="s">
        <v>158</v>
      </c>
      <c r="AF29" t="s">
        <v>225</v>
      </c>
      <c r="AH29" s="94">
        <v>41585.584386574075</v>
      </c>
      <c r="AI29" t="s">
        <v>126</v>
      </c>
      <c r="AJ29" t="s">
        <v>14</v>
      </c>
    </row>
    <row r="30" spans="2:36">
      <c r="B30" t="str">
        <f t="shared" si="1"/>
        <v/>
      </c>
      <c r="C30" t="str">
        <f t="shared" si="0"/>
        <v/>
      </c>
      <c r="AH30" s="94"/>
    </row>
    <row r="31" spans="2:36">
      <c r="B31" t="str">
        <f t="shared" si="1"/>
        <v/>
      </c>
      <c r="C31" t="str">
        <f t="shared" si="0"/>
        <v/>
      </c>
      <c r="AH31" s="94"/>
    </row>
    <row r="32" spans="2:36">
      <c r="B32" t="str">
        <f t="shared" si="1"/>
        <v/>
      </c>
      <c r="C32" t="str">
        <f t="shared" si="0"/>
        <v/>
      </c>
      <c r="AH32" s="94"/>
    </row>
    <row r="33" spans="2:34">
      <c r="B33" t="str">
        <f t="shared" si="1"/>
        <v/>
      </c>
      <c r="C33" t="str">
        <f t="shared" si="0"/>
        <v/>
      </c>
      <c r="AH33" s="94"/>
    </row>
    <row r="34" spans="2:34">
      <c r="B34" t="str">
        <f t="shared" si="1"/>
        <v/>
      </c>
      <c r="C34" t="str">
        <f t="shared" si="0"/>
        <v/>
      </c>
      <c r="AH34" s="94"/>
    </row>
    <row r="35" spans="2:34">
      <c r="B35" t="str">
        <f t="shared" si="1"/>
        <v/>
      </c>
      <c r="C35" t="str">
        <f t="shared" si="0"/>
        <v/>
      </c>
      <c r="AH35" s="94"/>
    </row>
    <row r="36" spans="2:34">
      <c r="B36" t="str">
        <f t="shared" si="1"/>
        <v/>
      </c>
      <c r="C36" t="str">
        <f t="shared" si="0"/>
        <v/>
      </c>
      <c r="AH36" s="94"/>
    </row>
    <row r="37" spans="2:34">
      <c r="B37" t="str">
        <f t="shared" si="1"/>
        <v/>
      </c>
      <c r="C37" t="str">
        <f t="shared" si="0"/>
        <v/>
      </c>
      <c r="AH37" s="94"/>
    </row>
    <row r="38" spans="2:34">
      <c r="B38" t="str">
        <f t="shared" si="1"/>
        <v/>
      </c>
      <c r="C38" t="str">
        <f t="shared" si="0"/>
        <v/>
      </c>
      <c r="AH38" s="94"/>
    </row>
    <row r="39" spans="2:34">
      <c r="B39" t="str">
        <f t="shared" si="1"/>
        <v/>
      </c>
      <c r="C39" t="str">
        <f t="shared" si="0"/>
        <v/>
      </c>
      <c r="AH39" s="94"/>
    </row>
    <row r="40" spans="2:34">
      <c r="B40" t="str">
        <f t="shared" si="1"/>
        <v/>
      </c>
      <c r="C40" t="str">
        <f t="shared" si="0"/>
        <v/>
      </c>
      <c r="AH40" s="94"/>
    </row>
    <row r="41" spans="2:34">
      <c r="B41" t="str">
        <f t="shared" si="1"/>
        <v/>
      </c>
      <c r="C41" t="str">
        <f t="shared" si="0"/>
        <v/>
      </c>
      <c r="AH41" s="94"/>
    </row>
    <row r="42" spans="2:34">
      <c r="B42" t="str">
        <f t="shared" si="1"/>
        <v/>
      </c>
      <c r="C42" t="str">
        <f t="shared" si="0"/>
        <v/>
      </c>
      <c r="AH42" s="94"/>
    </row>
    <row r="43" spans="2:34">
      <c r="B43" t="str">
        <f t="shared" si="1"/>
        <v/>
      </c>
      <c r="C43" t="str">
        <f t="shared" si="0"/>
        <v/>
      </c>
      <c r="AH43" s="94"/>
    </row>
    <row r="44" spans="2:34">
      <c r="B44" t="str">
        <f t="shared" si="1"/>
        <v/>
      </c>
      <c r="C44" t="str">
        <f t="shared" si="0"/>
        <v/>
      </c>
      <c r="AH44" s="94"/>
    </row>
    <row r="45" spans="2:34">
      <c r="B45" t="str">
        <f t="shared" si="1"/>
        <v/>
      </c>
      <c r="C45" t="str">
        <f t="shared" si="0"/>
        <v/>
      </c>
      <c r="AH45" s="94"/>
    </row>
    <row r="46" spans="2:34">
      <c r="B46" t="str">
        <f t="shared" si="1"/>
        <v/>
      </c>
      <c r="C46" t="str">
        <f t="shared" si="0"/>
        <v/>
      </c>
      <c r="AH46" s="94"/>
    </row>
    <row r="47" spans="2:34">
      <c r="B47" t="str">
        <f t="shared" si="1"/>
        <v/>
      </c>
      <c r="C47" t="str">
        <f t="shared" si="0"/>
        <v/>
      </c>
      <c r="AH47" s="94"/>
    </row>
    <row r="48" spans="2:34">
      <c r="B48" t="str">
        <f t="shared" si="1"/>
        <v/>
      </c>
      <c r="C48" t="str">
        <f t="shared" si="0"/>
        <v/>
      </c>
      <c r="AH48" s="94"/>
    </row>
    <row r="49" spans="2:34">
      <c r="B49" t="str">
        <f t="shared" si="1"/>
        <v/>
      </c>
      <c r="C49" t="str">
        <f t="shared" si="0"/>
        <v/>
      </c>
      <c r="AH49" s="94"/>
    </row>
    <row r="50" spans="2:34">
      <c r="B50" t="str">
        <f t="shared" si="1"/>
        <v/>
      </c>
      <c r="C50" t="str">
        <f t="shared" si="0"/>
        <v/>
      </c>
      <c r="AH50" s="94"/>
    </row>
    <row r="51" spans="2:34">
      <c r="B51" t="str">
        <f t="shared" si="1"/>
        <v/>
      </c>
      <c r="C51" t="str">
        <f t="shared" si="0"/>
        <v/>
      </c>
      <c r="AH51" s="94"/>
    </row>
    <row r="52" spans="2:34">
      <c r="B52" t="str">
        <f t="shared" si="1"/>
        <v/>
      </c>
      <c r="C52" t="str">
        <f t="shared" si="0"/>
        <v/>
      </c>
      <c r="AH52" s="94"/>
    </row>
    <row r="53" spans="2:34">
      <c r="B53" t="str">
        <f t="shared" si="1"/>
        <v/>
      </c>
      <c r="C53" t="str">
        <f t="shared" si="0"/>
        <v/>
      </c>
      <c r="AH53" s="94"/>
    </row>
    <row r="54" spans="2:34">
      <c r="B54" t="str">
        <f t="shared" si="1"/>
        <v/>
      </c>
      <c r="C54" t="str">
        <f t="shared" si="0"/>
        <v/>
      </c>
      <c r="AH54" s="94"/>
    </row>
    <row r="55" spans="2:34">
      <c r="B55" t="str">
        <f t="shared" si="1"/>
        <v/>
      </c>
      <c r="C55" t="str">
        <f t="shared" ref="C55:C86" si="2">IF($G55&lt;&gt;"",IF(COUNTA(PREFIX)=0,PRODUCT_NAME&amp;"\"&amp;$G55,PREFIX&amp;"\"&amp;PRODUCT_NAME&amp;"\"&amp;G55),"")</f>
        <v/>
      </c>
      <c r="AH55" s="94"/>
    </row>
    <row r="56" spans="2:34">
      <c r="B56" t="str">
        <f t="shared" si="1"/>
        <v/>
      </c>
      <c r="C56" t="str">
        <f t="shared" si="2"/>
        <v/>
      </c>
      <c r="AH56" s="94"/>
    </row>
    <row r="57" spans="2:34">
      <c r="B57" t="str">
        <f t="shared" si="1"/>
        <v/>
      </c>
      <c r="C57" t="str">
        <f t="shared" si="2"/>
        <v/>
      </c>
      <c r="AH57" s="94"/>
    </row>
    <row r="58" spans="2:34">
      <c r="B58" t="str">
        <f t="shared" si="1"/>
        <v/>
      </c>
      <c r="C58" t="str">
        <f t="shared" si="2"/>
        <v/>
      </c>
      <c r="AH58" s="94"/>
    </row>
    <row r="59" spans="2:34">
      <c r="B59" t="str">
        <f t="shared" si="1"/>
        <v/>
      </c>
      <c r="C59" t="str">
        <f t="shared" si="2"/>
        <v/>
      </c>
      <c r="AH59" s="94"/>
    </row>
    <row r="60" spans="2:34">
      <c r="B60" t="str">
        <f t="shared" si="1"/>
        <v/>
      </c>
      <c r="C60" t="str">
        <f t="shared" si="2"/>
        <v/>
      </c>
      <c r="AH60" s="94"/>
    </row>
    <row r="61" spans="2:34">
      <c r="B61" t="str">
        <f t="shared" si="1"/>
        <v/>
      </c>
      <c r="C61" t="str">
        <f t="shared" si="2"/>
        <v/>
      </c>
      <c r="AH61" s="94"/>
    </row>
    <row r="62" spans="2:34">
      <c r="B62" t="str">
        <f t="shared" si="1"/>
        <v/>
      </c>
      <c r="C62" t="str">
        <f t="shared" si="2"/>
        <v/>
      </c>
      <c r="AH62" s="94"/>
    </row>
    <row r="63" spans="2:34">
      <c r="B63" t="str">
        <f t="shared" si="1"/>
        <v/>
      </c>
      <c r="C63" t="str">
        <f t="shared" si="2"/>
        <v/>
      </c>
      <c r="AH63" s="94"/>
    </row>
    <row r="64" spans="2:34">
      <c r="B64" t="str">
        <f t="shared" si="1"/>
        <v/>
      </c>
      <c r="C64" t="str">
        <f t="shared" si="2"/>
        <v/>
      </c>
      <c r="AH64" s="94"/>
    </row>
    <row r="65" spans="2:34">
      <c r="B65" t="str">
        <f t="shared" si="1"/>
        <v/>
      </c>
      <c r="C65" t="str">
        <f t="shared" si="2"/>
        <v/>
      </c>
      <c r="AH65" s="94"/>
    </row>
    <row r="66" spans="2:34">
      <c r="B66" t="str">
        <f t="shared" si="1"/>
        <v/>
      </c>
      <c r="C66" t="str">
        <f t="shared" si="2"/>
        <v/>
      </c>
      <c r="AH66" s="94"/>
    </row>
    <row r="67" spans="2:34">
      <c r="B67" t="str">
        <f t="shared" si="1"/>
        <v/>
      </c>
      <c r="C67" t="str">
        <f t="shared" si="2"/>
        <v/>
      </c>
      <c r="AH67" s="94"/>
    </row>
    <row r="68" spans="2:34">
      <c r="B68" t="str">
        <f t="shared" si="1"/>
        <v/>
      </c>
      <c r="C68" t="str">
        <f t="shared" si="2"/>
        <v/>
      </c>
      <c r="AH68" s="94"/>
    </row>
    <row r="69" spans="2:34">
      <c r="B69" t="str">
        <f t="shared" si="1"/>
        <v/>
      </c>
      <c r="C69" t="str">
        <f t="shared" si="2"/>
        <v/>
      </c>
      <c r="AH69" s="94"/>
    </row>
    <row r="70" spans="2:34">
      <c r="B70" t="str">
        <f t="shared" si="1"/>
        <v/>
      </c>
      <c r="C70" t="str">
        <f t="shared" si="2"/>
        <v/>
      </c>
      <c r="AH70" s="94"/>
    </row>
    <row r="71" spans="2:34">
      <c r="B71" t="str">
        <f t="shared" si="1"/>
        <v/>
      </c>
      <c r="C71" t="str">
        <f t="shared" si="2"/>
        <v/>
      </c>
      <c r="AH71" s="94"/>
    </row>
    <row r="72" spans="2:34">
      <c r="B72" t="str">
        <f t="shared" si="1"/>
        <v/>
      </c>
      <c r="C72" t="str">
        <f t="shared" si="2"/>
        <v/>
      </c>
      <c r="AH72" s="94"/>
    </row>
    <row r="73" spans="2:34">
      <c r="B73" t="str">
        <f t="shared" si="1"/>
        <v/>
      </c>
      <c r="C73" t="str">
        <f t="shared" si="2"/>
        <v/>
      </c>
      <c r="AH73" s="94"/>
    </row>
    <row r="74" spans="2:34">
      <c r="B74" t="str">
        <f t="shared" si="1"/>
        <v/>
      </c>
      <c r="C74" t="str">
        <f t="shared" si="2"/>
        <v/>
      </c>
      <c r="AH74" s="94"/>
    </row>
    <row r="75" spans="2:34">
      <c r="B75" t="str">
        <f t="shared" si="1"/>
        <v/>
      </c>
      <c r="C75" t="str">
        <f t="shared" si="2"/>
        <v/>
      </c>
      <c r="AH75" s="94"/>
    </row>
    <row r="76" spans="2:34">
      <c r="B76" t="str">
        <f t="shared" si="1"/>
        <v/>
      </c>
      <c r="C76" t="str">
        <f t="shared" si="2"/>
        <v/>
      </c>
      <c r="AH76" s="94"/>
    </row>
    <row r="77" spans="2:34">
      <c r="B77" t="str">
        <f t="shared" si="1"/>
        <v/>
      </c>
      <c r="C77" t="str">
        <f t="shared" si="2"/>
        <v/>
      </c>
      <c r="AH77" s="94"/>
    </row>
    <row r="78" spans="2:34">
      <c r="B78" t="str">
        <f t="shared" si="1"/>
        <v/>
      </c>
      <c r="C78" t="str">
        <f t="shared" si="2"/>
        <v/>
      </c>
      <c r="AH78" s="94"/>
    </row>
    <row r="79" spans="2:34">
      <c r="B79" t="str">
        <f t="shared" si="1"/>
        <v/>
      </c>
      <c r="C79" t="str">
        <f t="shared" si="2"/>
        <v/>
      </c>
      <c r="AH79" s="94"/>
    </row>
    <row r="80" spans="2:34">
      <c r="B80" t="str">
        <f t="shared" si="1"/>
        <v/>
      </c>
      <c r="C80" t="str">
        <f t="shared" si="2"/>
        <v/>
      </c>
      <c r="AH80" s="94"/>
    </row>
    <row r="81" spans="2:34">
      <c r="B81" t="str">
        <f t="shared" si="1"/>
        <v/>
      </c>
      <c r="C81" t="str">
        <f t="shared" si="2"/>
        <v/>
      </c>
      <c r="AH81" s="94"/>
    </row>
    <row r="82" spans="2:34">
      <c r="B82" t="str">
        <f t="shared" si="1"/>
        <v/>
      </c>
      <c r="C82" t="str">
        <f t="shared" si="2"/>
        <v/>
      </c>
      <c r="AH82" s="94"/>
    </row>
    <row r="83" spans="2:34">
      <c r="B83" t="str">
        <f t="shared" si="1"/>
        <v/>
      </c>
      <c r="C83" t="str">
        <f t="shared" si="2"/>
        <v/>
      </c>
      <c r="AH83" s="94"/>
    </row>
    <row r="84" spans="2:34">
      <c r="B84" t="str">
        <f t="shared" si="1"/>
        <v/>
      </c>
      <c r="C84" t="str">
        <f t="shared" si="2"/>
        <v/>
      </c>
      <c r="AH84" s="94"/>
    </row>
    <row r="85" spans="2:34">
      <c r="B85" t="str">
        <f t="shared" si="1"/>
        <v/>
      </c>
      <c r="C85" t="str">
        <f t="shared" si="2"/>
        <v/>
      </c>
      <c r="AH85" s="94"/>
    </row>
    <row r="86" spans="2:34">
      <c r="B86" t="str">
        <f t="shared" si="1"/>
        <v/>
      </c>
      <c r="C86" t="str">
        <f t="shared" si="2"/>
        <v/>
      </c>
      <c r="AH86" s="94"/>
    </row>
    <row r="87" spans="2:34">
      <c r="B87" t="str">
        <f t="shared" si="1"/>
        <v/>
      </c>
      <c r="C87" t="str">
        <f t="shared" ref="C87:C118" si="3">IF($G87&lt;&gt;"",IF(COUNTA(PREFIX)=0,PRODUCT_NAME&amp;"\"&amp;$G87,PREFIX&amp;"\"&amp;PRODUCT_NAME&amp;"\"&amp;G87),"")</f>
        <v/>
      </c>
      <c r="AH87" s="94"/>
    </row>
    <row r="88" spans="2:34">
      <c r="B88" t="str">
        <f t="shared" si="1"/>
        <v/>
      </c>
      <c r="C88" t="str">
        <f t="shared" si="3"/>
        <v/>
      </c>
      <c r="AH88" s="94"/>
    </row>
    <row r="89" spans="2:34">
      <c r="B89" t="str">
        <f t="shared" ref="B89:B152" si="4">IF($G89&lt;&gt;"","Requirement","")</f>
        <v/>
      </c>
      <c r="C89" t="str">
        <f t="shared" si="3"/>
        <v/>
      </c>
      <c r="AH89" s="94"/>
    </row>
    <row r="90" spans="2:34">
      <c r="B90" t="str">
        <f t="shared" si="4"/>
        <v/>
      </c>
      <c r="C90" t="str">
        <f t="shared" si="3"/>
        <v/>
      </c>
      <c r="AH90" s="94"/>
    </row>
    <row r="91" spans="2:34">
      <c r="B91" t="str">
        <f t="shared" si="4"/>
        <v/>
      </c>
      <c r="C91" t="str">
        <f t="shared" si="3"/>
        <v/>
      </c>
      <c r="AH91" s="94"/>
    </row>
    <row r="92" spans="2:34">
      <c r="B92" t="str">
        <f t="shared" si="4"/>
        <v/>
      </c>
      <c r="C92" t="str">
        <f t="shared" si="3"/>
        <v/>
      </c>
      <c r="AH92" s="94"/>
    </row>
    <row r="93" spans="2:34">
      <c r="B93" t="str">
        <f t="shared" si="4"/>
        <v/>
      </c>
      <c r="C93" t="str">
        <f t="shared" si="3"/>
        <v/>
      </c>
      <c r="AH93" s="94"/>
    </row>
    <row r="94" spans="2:34">
      <c r="B94" t="str">
        <f t="shared" si="4"/>
        <v/>
      </c>
      <c r="C94" t="str">
        <f t="shared" si="3"/>
        <v/>
      </c>
      <c r="AH94" s="94"/>
    </row>
    <row r="95" spans="2:34">
      <c r="B95" t="str">
        <f t="shared" si="4"/>
        <v/>
      </c>
      <c r="C95" t="str">
        <f t="shared" si="3"/>
        <v/>
      </c>
      <c r="AH95" s="94"/>
    </row>
    <row r="96" spans="2:34">
      <c r="B96" t="str">
        <f t="shared" si="4"/>
        <v/>
      </c>
      <c r="C96" t="str">
        <f t="shared" si="3"/>
        <v/>
      </c>
      <c r="AH96" s="94"/>
    </row>
    <row r="97" spans="2:34">
      <c r="B97" t="str">
        <f t="shared" si="4"/>
        <v/>
      </c>
      <c r="C97" t="str">
        <f t="shared" si="3"/>
        <v/>
      </c>
      <c r="AH97" s="94"/>
    </row>
    <row r="98" spans="2:34">
      <c r="B98" t="str">
        <f t="shared" si="4"/>
        <v/>
      </c>
      <c r="C98" t="str">
        <f t="shared" si="3"/>
        <v/>
      </c>
      <c r="AH98" s="94"/>
    </row>
    <row r="99" spans="2:34">
      <c r="B99" t="str">
        <f t="shared" si="4"/>
        <v/>
      </c>
      <c r="C99" t="str">
        <f t="shared" si="3"/>
        <v/>
      </c>
      <c r="AH99" s="94"/>
    </row>
    <row r="100" spans="2:34">
      <c r="B100" t="str">
        <f t="shared" si="4"/>
        <v/>
      </c>
      <c r="C100" t="str">
        <f t="shared" si="3"/>
        <v/>
      </c>
      <c r="AH100" s="94"/>
    </row>
    <row r="101" spans="2:34">
      <c r="B101" t="str">
        <f t="shared" si="4"/>
        <v/>
      </c>
      <c r="C101" t="str">
        <f t="shared" si="3"/>
        <v/>
      </c>
      <c r="AH101" s="94"/>
    </row>
    <row r="102" spans="2:34">
      <c r="B102" t="str">
        <f t="shared" si="4"/>
        <v/>
      </c>
      <c r="C102" t="str">
        <f t="shared" si="3"/>
        <v/>
      </c>
      <c r="AH102" s="94"/>
    </row>
    <row r="103" spans="2:34">
      <c r="B103" t="str">
        <f t="shared" si="4"/>
        <v/>
      </c>
      <c r="C103" t="str">
        <f t="shared" si="3"/>
        <v/>
      </c>
      <c r="AH103" s="94"/>
    </row>
    <row r="104" spans="2:34">
      <c r="B104" t="str">
        <f t="shared" si="4"/>
        <v/>
      </c>
      <c r="C104" t="str">
        <f t="shared" si="3"/>
        <v/>
      </c>
      <c r="AH104" s="94"/>
    </row>
    <row r="105" spans="2:34">
      <c r="B105" t="str">
        <f t="shared" si="4"/>
        <v/>
      </c>
      <c r="C105" t="str">
        <f t="shared" si="3"/>
        <v/>
      </c>
      <c r="AH105" s="94"/>
    </row>
    <row r="106" spans="2:34">
      <c r="B106" t="str">
        <f t="shared" si="4"/>
        <v/>
      </c>
      <c r="C106" t="str">
        <f t="shared" si="3"/>
        <v/>
      </c>
      <c r="AH106" s="94"/>
    </row>
    <row r="107" spans="2:34">
      <c r="B107" t="str">
        <f t="shared" si="4"/>
        <v/>
      </c>
      <c r="C107" t="str">
        <f t="shared" si="3"/>
        <v/>
      </c>
      <c r="AH107" s="94"/>
    </row>
    <row r="108" spans="2:34">
      <c r="B108" t="str">
        <f t="shared" si="4"/>
        <v/>
      </c>
      <c r="C108" t="str">
        <f t="shared" si="3"/>
        <v/>
      </c>
      <c r="AH108" s="94"/>
    </row>
    <row r="109" spans="2:34">
      <c r="B109" t="str">
        <f t="shared" si="4"/>
        <v/>
      </c>
      <c r="C109" t="str">
        <f t="shared" si="3"/>
        <v/>
      </c>
      <c r="AH109" s="94"/>
    </row>
    <row r="110" spans="2:34">
      <c r="B110" t="str">
        <f t="shared" si="4"/>
        <v/>
      </c>
      <c r="C110" t="str">
        <f t="shared" si="3"/>
        <v/>
      </c>
      <c r="AH110" s="94"/>
    </row>
    <row r="111" spans="2:34">
      <c r="B111" t="str">
        <f t="shared" si="4"/>
        <v/>
      </c>
      <c r="C111" t="str">
        <f t="shared" si="3"/>
        <v/>
      </c>
      <c r="AH111" s="94"/>
    </row>
    <row r="112" spans="2:34">
      <c r="B112" t="str">
        <f t="shared" si="4"/>
        <v/>
      </c>
      <c r="C112" t="str">
        <f t="shared" si="3"/>
        <v/>
      </c>
      <c r="AH112" s="94"/>
    </row>
    <row r="113" spans="2:34">
      <c r="B113" t="str">
        <f t="shared" si="4"/>
        <v/>
      </c>
      <c r="C113" t="str">
        <f t="shared" si="3"/>
        <v/>
      </c>
      <c r="AH113" s="94"/>
    </row>
    <row r="114" spans="2:34">
      <c r="B114" t="str">
        <f t="shared" si="4"/>
        <v/>
      </c>
      <c r="C114" t="str">
        <f t="shared" si="3"/>
        <v/>
      </c>
      <c r="AH114" s="94"/>
    </row>
    <row r="115" spans="2:34">
      <c r="B115" t="str">
        <f t="shared" si="4"/>
        <v/>
      </c>
      <c r="C115" t="str">
        <f t="shared" si="3"/>
        <v/>
      </c>
      <c r="AH115" s="94"/>
    </row>
    <row r="116" spans="2:34">
      <c r="B116" t="str">
        <f t="shared" si="4"/>
        <v/>
      </c>
      <c r="C116" t="str">
        <f t="shared" si="3"/>
        <v/>
      </c>
      <c r="AH116" s="94"/>
    </row>
    <row r="117" spans="2:34">
      <c r="B117" t="str">
        <f t="shared" si="4"/>
        <v/>
      </c>
      <c r="C117" t="str">
        <f t="shared" si="3"/>
        <v/>
      </c>
      <c r="AH117" s="94"/>
    </row>
    <row r="118" spans="2:34">
      <c r="B118" t="str">
        <f t="shared" si="4"/>
        <v/>
      </c>
      <c r="C118" t="str">
        <f t="shared" si="3"/>
        <v/>
      </c>
      <c r="AH118" s="94"/>
    </row>
    <row r="119" spans="2:34">
      <c r="B119" t="str">
        <f t="shared" si="4"/>
        <v/>
      </c>
      <c r="C119" t="str">
        <f t="shared" ref="C119:C150" si="5">IF($G119&lt;&gt;"",IF(COUNTA(PREFIX)=0,PRODUCT_NAME&amp;"\"&amp;$G119,PREFIX&amp;"\"&amp;PRODUCT_NAME&amp;"\"&amp;G119),"")</f>
        <v/>
      </c>
      <c r="AH119" s="94"/>
    </row>
    <row r="120" spans="2:34">
      <c r="B120" t="str">
        <f t="shared" si="4"/>
        <v/>
      </c>
      <c r="C120" t="str">
        <f t="shared" si="5"/>
        <v/>
      </c>
      <c r="AH120" s="94"/>
    </row>
    <row r="121" spans="2:34">
      <c r="B121" t="str">
        <f t="shared" si="4"/>
        <v/>
      </c>
      <c r="C121" t="str">
        <f t="shared" si="5"/>
        <v/>
      </c>
      <c r="AH121" s="94"/>
    </row>
    <row r="122" spans="2:34">
      <c r="B122" t="str">
        <f t="shared" si="4"/>
        <v/>
      </c>
      <c r="C122" t="str">
        <f t="shared" si="5"/>
        <v/>
      </c>
      <c r="AH122" s="94"/>
    </row>
    <row r="123" spans="2:34">
      <c r="B123" t="str">
        <f t="shared" si="4"/>
        <v/>
      </c>
      <c r="C123" t="str">
        <f t="shared" si="5"/>
        <v/>
      </c>
      <c r="AH123" s="94"/>
    </row>
    <row r="124" spans="2:34">
      <c r="B124" t="str">
        <f t="shared" si="4"/>
        <v/>
      </c>
      <c r="C124" t="str">
        <f t="shared" si="5"/>
        <v/>
      </c>
      <c r="AH124" s="94"/>
    </row>
    <row r="125" spans="2:34">
      <c r="B125" t="str">
        <f t="shared" si="4"/>
        <v/>
      </c>
      <c r="C125" t="str">
        <f t="shared" si="5"/>
        <v/>
      </c>
      <c r="AH125" s="94"/>
    </row>
    <row r="126" spans="2:34">
      <c r="B126" t="str">
        <f t="shared" si="4"/>
        <v/>
      </c>
      <c r="C126" t="str">
        <f t="shared" si="5"/>
        <v/>
      </c>
      <c r="AH126" s="94"/>
    </row>
    <row r="127" spans="2:34">
      <c r="B127" t="str">
        <f t="shared" si="4"/>
        <v/>
      </c>
      <c r="C127" t="str">
        <f t="shared" si="5"/>
        <v/>
      </c>
      <c r="AH127" s="94"/>
    </row>
    <row r="128" spans="2:34">
      <c r="B128" t="str">
        <f t="shared" si="4"/>
        <v/>
      </c>
      <c r="C128" t="str">
        <f t="shared" si="5"/>
        <v/>
      </c>
      <c r="AH128" s="94"/>
    </row>
    <row r="129" spans="2:34">
      <c r="B129" t="str">
        <f t="shared" si="4"/>
        <v/>
      </c>
      <c r="C129" t="str">
        <f t="shared" si="5"/>
        <v/>
      </c>
      <c r="AH129" s="94"/>
    </row>
    <row r="130" spans="2:34">
      <c r="B130" t="str">
        <f t="shared" si="4"/>
        <v/>
      </c>
      <c r="C130" t="str">
        <f t="shared" si="5"/>
        <v/>
      </c>
      <c r="AH130" s="94"/>
    </row>
    <row r="131" spans="2:34">
      <c r="B131" t="str">
        <f t="shared" si="4"/>
        <v/>
      </c>
      <c r="C131" t="str">
        <f t="shared" si="5"/>
        <v/>
      </c>
      <c r="AH131" s="94"/>
    </row>
    <row r="132" spans="2:34">
      <c r="B132" t="str">
        <f t="shared" si="4"/>
        <v/>
      </c>
      <c r="C132" t="str">
        <f t="shared" si="5"/>
        <v/>
      </c>
      <c r="AH132" s="94"/>
    </row>
    <row r="133" spans="2:34">
      <c r="B133" t="str">
        <f t="shared" si="4"/>
        <v/>
      </c>
      <c r="C133" t="str">
        <f t="shared" si="5"/>
        <v/>
      </c>
      <c r="AH133" s="94"/>
    </row>
    <row r="134" spans="2:34">
      <c r="B134" t="str">
        <f t="shared" si="4"/>
        <v/>
      </c>
      <c r="C134" t="str">
        <f t="shared" si="5"/>
        <v/>
      </c>
      <c r="AH134" s="94"/>
    </row>
    <row r="135" spans="2:34">
      <c r="B135" t="str">
        <f t="shared" si="4"/>
        <v/>
      </c>
      <c r="C135" t="str">
        <f t="shared" si="5"/>
        <v/>
      </c>
      <c r="AH135" s="94"/>
    </row>
    <row r="136" spans="2:34">
      <c r="B136" t="str">
        <f t="shared" si="4"/>
        <v/>
      </c>
      <c r="C136" t="str">
        <f t="shared" si="5"/>
        <v/>
      </c>
      <c r="AH136" s="94"/>
    </row>
    <row r="137" spans="2:34">
      <c r="B137" t="str">
        <f t="shared" si="4"/>
        <v/>
      </c>
      <c r="C137" t="str">
        <f t="shared" si="5"/>
        <v/>
      </c>
      <c r="AH137" s="94"/>
    </row>
    <row r="138" spans="2:34">
      <c r="B138" t="str">
        <f t="shared" si="4"/>
        <v/>
      </c>
      <c r="C138" t="str">
        <f t="shared" si="5"/>
        <v/>
      </c>
      <c r="AH138" s="94"/>
    </row>
    <row r="139" spans="2:34">
      <c r="B139" t="str">
        <f t="shared" si="4"/>
        <v/>
      </c>
      <c r="C139" t="str">
        <f t="shared" si="5"/>
        <v/>
      </c>
      <c r="AH139" s="94"/>
    </row>
    <row r="140" spans="2:34">
      <c r="B140" t="str">
        <f t="shared" si="4"/>
        <v/>
      </c>
      <c r="C140" t="str">
        <f t="shared" si="5"/>
        <v/>
      </c>
      <c r="AH140" s="94"/>
    </row>
    <row r="141" spans="2:34">
      <c r="B141" t="str">
        <f t="shared" si="4"/>
        <v/>
      </c>
      <c r="C141" t="str">
        <f t="shared" si="5"/>
        <v/>
      </c>
      <c r="AH141" s="94"/>
    </row>
    <row r="142" spans="2:34">
      <c r="B142" t="str">
        <f t="shared" si="4"/>
        <v/>
      </c>
      <c r="C142" t="str">
        <f t="shared" si="5"/>
        <v/>
      </c>
      <c r="AH142" s="94"/>
    </row>
    <row r="143" spans="2:34">
      <c r="B143" t="str">
        <f t="shared" si="4"/>
        <v/>
      </c>
      <c r="C143" t="str">
        <f t="shared" si="5"/>
        <v/>
      </c>
      <c r="AH143" s="94"/>
    </row>
    <row r="144" spans="2:34">
      <c r="B144" t="str">
        <f t="shared" si="4"/>
        <v/>
      </c>
      <c r="C144" t="str">
        <f t="shared" si="5"/>
        <v/>
      </c>
      <c r="AH144" s="94"/>
    </row>
    <row r="145" spans="2:34">
      <c r="B145" t="str">
        <f t="shared" si="4"/>
        <v/>
      </c>
      <c r="C145" t="str">
        <f t="shared" si="5"/>
        <v/>
      </c>
      <c r="AH145" s="94"/>
    </row>
    <row r="146" spans="2:34">
      <c r="B146" t="str">
        <f t="shared" si="4"/>
        <v/>
      </c>
      <c r="C146" t="str">
        <f t="shared" si="5"/>
        <v/>
      </c>
      <c r="AH146" s="94"/>
    </row>
    <row r="147" spans="2:34">
      <c r="B147" t="str">
        <f t="shared" si="4"/>
        <v/>
      </c>
      <c r="C147" t="str">
        <f t="shared" si="5"/>
        <v/>
      </c>
      <c r="AH147" s="94"/>
    </row>
    <row r="148" spans="2:34">
      <c r="B148" t="str">
        <f t="shared" si="4"/>
        <v/>
      </c>
      <c r="C148" t="str">
        <f t="shared" si="5"/>
        <v/>
      </c>
      <c r="AH148" s="94"/>
    </row>
    <row r="149" spans="2:34">
      <c r="B149" t="str">
        <f t="shared" si="4"/>
        <v/>
      </c>
      <c r="C149" t="str">
        <f t="shared" si="5"/>
        <v/>
      </c>
      <c r="AH149" s="94"/>
    </row>
    <row r="150" spans="2:34">
      <c r="B150" t="str">
        <f t="shared" si="4"/>
        <v/>
      </c>
      <c r="C150" t="str">
        <f t="shared" si="5"/>
        <v/>
      </c>
      <c r="AH150" s="94"/>
    </row>
    <row r="151" spans="2:34">
      <c r="B151" t="str">
        <f t="shared" si="4"/>
        <v/>
      </c>
      <c r="C151" t="str">
        <f t="shared" ref="C151:C182" si="6">IF($G151&lt;&gt;"",IF(COUNTA(PREFIX)=0,PRODUCT_NAME&amp;"\"&amp;$G151,PREFIX&amp;"\"&amp;PRODUCT_NAME&amp;"\"&amp;G151),"")</f>
        <v/>
      </c>
      <c r="AH151" s="94"/>
    </row>
    <row r="152" spans="2:34">
      <c r="B152" t="str">
        <f t="shared" si="4"/>
        <v/>
      </c>
      <c r="C152" t="str">
        <f t="shared" si="6"/>
        <v/>
      </c>
      <c r="AH152" s="94"/>
    </row>
    <row r="153" spans="2:34">
      <c r="B153" t="str">
        <f t="shared" ref="B153:B216" si="7">IF($G153&lt;&gt;"","Requirement","")</f>
        <v/>
      </c>
      <c r="C153" t="str">
        <f t="shared" si="6"/>
        <v/>
      </c>
      <c r="AH153" s="94"/>
    </row>
    <row r="154" spans="2:34">
      <c r="B154" t="str">
        <f t="shared" si="7"/>
        <v/>
      </c>
      <c r="C154" t="str">
        <f t="shared" si="6"/>
        <v/>
      </c>
      <c r="AH154" s="94"/>
    </row>
    <row r="155" spans="2:34">
      <c r="B155" t="str">
        <f t="shared" si="7"/>
        <v/>
      </c>
      <c r="C155" t="str">
        <f t="shared" si="6"/>
        <v/>
      </c>
      <c r="AH155" s="94"/>
    </row>
    <row r="156" spans="2:34">
      <c r="B156" t="str">
        <f t="shared" si="7"/>
        <v/>
      </c>
      <c r="C156" t="str">
        <f t="shared" si="6"/>
        <v/>
      </c>
      <c r="AH156" s="94"/>
    </row>
    <row r="157" spans="2:34">
      <c r="B157" t="str">
        <f t="shared" si="7"/>
        <v/>
      </c>
      <c r="C157" t="str">
        <f t="shared" si="6"/>
        <v/>
      </c>
      <c r="AH157" s="94"/>
    </row>
    <row r="158" spans="2:34">
      <c r="B158" t="str">
        <f t="shared" si="7"/>
        <v/>
      </c>
      <c r="C158" t="str">
        <f t="shared" si="6"/>
        <v/>
      </c>
      <c r="AH158" s="94"/>
    </row>
    <row r="159" spans="2:34">
      <c r="B159" t="str">
        <f t="shared" si="7"/>
        <v/>
      </c>
      <c r="C159" t="str">
        <f t="shared" si="6"/>
        <v/>
      </c>
      <c r="AH159" s="94"/>
    </row>
    <row r="160" spans="2:34">
      <c r="B160" t="str">
        <f t="shared" si="7"/>
        <v/>
      </c>
      <c r="C160" t="str">
        <f t="shared" si="6"/>
        <v/>
      </c>
      <c r="AH160" s="94"/>
    </row>
    <row r="161" spans="2:34">
      <c r="B161" t="str">
        <f t="shared" si="7"/>
        <v/>
      </c>
      <c r="C161" t="str">
        <f t="shared" si="6"/>
        <v/>
      </c>
      <c r="AH161" s="94"/>
    </row>
    <row r="162" spans="2:34">
      <c r="B162" t="str">
        <f t="shared" si="7"/>
        <v/>
      </c>
      <c r="C162" t="str">
        <f t="shared" si="6"/>
        <v/>
      </c>
      <c r="AH162" s="94"/>
    </row>
    <row r="163" spans="2:34">
      <c r="B163" t="str">
        <f t="shared" si="7"/>
        <v/>
      </c>
      <c r="C163" t="str">
        <f t="shared" si="6"/>
        <v/>
      </c>
      <c r="AH163" s="94"/>
    </row>
    <row r="164" spans="2:34">
      <c r="B164" t="str">
        <f t="shared" si="7"/>
        <v/>
      </c>
      <c r="C164" t="str">
        <f t="shared" si="6"/>
        <v/>
      </c>
      <c r="AH164" s="94"/>
    </row>
    <row r="165" spans="2:34">
      <c r="B165" t="str">
        <f t="shared" si="7"/>
        <v/>
      </c>
      <c r="C165" t="str">
        <f t="shared" si="6"/>
        <v/>
      </c>
      <c r="AH165" s="94"/>
    </row>
    <row r="166" spans="2:34">
      <c r="B166" t="str">
        <f t="shared" si="7"/>
        <v/>
      </c>
      <c r="C166" t="str">
        <f t="shared" si="6"/>
        <v/>
      </c>
      <c r="AH166" s="94"/>
    </row>
    <row r="167" spans="2:34">
      <c r="B167" t="str">
        <f t="shared" si="7"/>
        <v/>
      </c>
      <c r="C167" t="str">
        <f t="shared" si="6"/>
        <v/>
      </c>
      <c r="AH167" s="94"/>
    </row>
    <row r="168" spans="2:34">
      <c r="B168" t="str">
        <f t="shared" si="7"/>
        <v/>
      </c>
      <c r="C168" t="str">
        <f t="shared" si="6"/>
        <v/>
      </c>
      <c r="AH168" s="94"/>
    </row>
    <row r="169" spans="2:34">
      <c r="B169" t="str">
        <f t="shared" si="7"/>
        <v/>
      </c>
      <c r="C169" t="str">
        <f t="shared" si="6"/>
        <v/>
      </c>
      <c r="AH169" s="94"/>
    </row>
    <row r="170" spans="2:34">
      <c r="B170" t="str">
        <f t="shared" si="7"/>
        <v/>
      </c>
      <c r="C170" t="str">
        <f t="shared" si="6"/>
        <v/>
      </c>
      <c r="AH170" s="94"/>
    </row>
    <row r="171" spans="2:34">
      <c r="B171" t="str">
        <f t="shared" si="7"/>
        <v/>
      </c>
      <c r="C171" t="str">
        <f t="shared" si="6"/>
        <v/>
      </c>
      <c r="AH171" s="94"/>
    </row>
    <row r="172" spans="2:34">
      <c r="B172" t="str">
        <f t="shared" si="7"/>
        <v/>
      </c>
      <c r="C172" t="str">
        <f t="shared" si="6"/>
        <v/>
      </c>
      <c r="AH172" s="94"/>
    </row>
    <row r="173" spans="2:34">
      <c r="B173" t="str">
        <f t="shared" si="7"/>
        <v/>
      </c>
      <c r="C173" t="str">
        <f t="shared" si="6"/>
        <v/>
      </c>
      <c r="AH173" s="94"/>
    </row>
    <row r="174" spans="2:34">
      <c r="B174" t="str">
        <f t="shared" si="7"/>
        <v/>
      </c>
      <c r="C174" t="str">
        <f t="shared" si="6"/>
        <v/>
      </c>
      <c r="AH174" s="94"/>
    </row>
    <row r="175" spans="2:34">
      <c r="B175" t="str">
        <f t="shared" si="7"/>
        <v/>
      </c>
      <c r="C175" t="str">
        <f t="shared" si="6"/>
        <v/>
      </c>
      <c r="AH175" s="94"/>
    </row>
    <row r="176" spans="2:34">
      <c r="B176" t="str">
        <f t="shared" si="7"/>
        <v/>
      </c>
      <c r="C176" t="str">
        <f t="shared" si="6"/>
        <v/>
      </c>
      <c r="AH176" s="94"/>
    </row>
    <row r="177" spans="2:34">
      <c r="B177" t="str">
        <f t="shared" si="7"/>
        <v/>
      </c>
      <c r="C177" t="str">
        <f t="shared" si="6"/>
        <v/>
      </c>
      <c r="AH177" s="94"/>
    </row>
    <row r="178" spans="2:34">
      <c r="B178" t="str">
        <f t="shared" si="7"/>
        <v/>
      </c>
      <c r="C178" t="str">
        <f t="shared" si="6"/>
        <v/>
      </c>
      <c r="AH178" s="94"/>
    </row>
    <row r="179" spans="2:34">
      <c r="B179" t="str">
        <f t="shared" si="7"/>
        <v/>
      </c>
      <c r="C179" t="str">
        <f t="shared" si="6"/>
        <v/>
      </c>
      <c r="AH179" s="94"/>
    </row>
    <row r="180" spans="2:34">
      <c r="B180" t="str">
        <f t="shared" si="7"/>
        <v/>
      </c>
      <c r="C180" t="str">
        <f t="shared" si="6"/>
        <v/>
      </c>
      <c r="AH180" s="94"/>
    </row>
    <row r="181" spans="2:34">
      <c r="B181" t="str">
        <f t="shared" si="7"/>
        <v/>
      </c>
      <c r="C181" t="str">
        <f t="shared" si="6"/>
        <v/>
      </c>
      <c r="AH181" s="94"/>
    </row>
    <row r="182" spans="2:34">
      <c r="B182" t="str">
        <f t="shared" si="7"/>
        <v/>
      </c>
      <c r="C182" t="str">
        <f t="shared" si="6"/>
        <v/>
      </c>
      <c r="AH182" s="94"/>
    </row>
    <row r="183" spans="2:34">
      <c r="B183" t="str">
        <f t="shared" si="7"/>
        <v/>
      </c>
      <c r="C183" t="str">
        <f t="shared" ref="C183:C198" si="8">IF($G183&lt;&gt;"",IF(COUNTA(PREFIX)=0,PRODUCT_NAME&amp;"\"&amp;$G183,PREFIX&amp;"\"&amp;PRODUCT_NAME&amp;"\"&amp;G183),"")</f>
        <v/>
      </c>
      <c r="AH183" s="94"/>
    </row>
    <row r="184" spans="2:34">
      <c r="B184" t="str">
        <f t="shared" si="7"/>
        <v/>
      </c>
      <c r="C184" t="str">
        <f t="shared" si="8"/>
        <v/>
      </c>
      <c r="AH184" s="94"/>
    </row>
    <row r="185" spans="2:34">
      <c r="B185" t="str">
        <f t="shared" si="7"/>
        <v/>
      </c>
      <c r="C185" t="str">
        <f t="shared" si="8"/>
        <v/>
      </c>
      <c r="AH185" s="94"/>
    </row>
    <row r="186" spans="2:34">
      <c r="B186" t="str">
        <f t="shared" si="7"/>
        <v/>
      </c>
      <c r="C186" t="str">
        <f t="shared" si="8"/>
        <v/>
      </c>
      <c r="AH186" s="94"/>
    </row>
    <row r="187" spans="2:34">
      <c r="B187" t="str">
        <f t="shared" si="7"/>
        <v/>
      </c>
      <c r="C187" t="str">
        <f t="shared" si="8"/>
        <v/>
      </c>
      <c r="AH187" s="94"/>
    </row>
    <row r="188" spans="2:34">
      <c r="B188" t="str">
        <f t="shared" si="7"/>
        <v/>
      </c>
      <c r="C188" t="str">
        <f t="shared" si="8"/>
        <v/>
      </c>
      <c r="AH188" s="94"/>
    </row>
    <row r="189" spans="2:34">
      <c r="B189" t="str">
        <f t="shared" si="7"/>
        <v/>
      </c>
      <c r="C189" t="str">
        <f t="shared" si="8"/>
        <v/>
      </c>
      <c r="AH189" s="94"/>
    </row>
    <row r="190" spans="2:34">
      <c r="B190" t="str">
        <f t="shared" si="7"/>
        <v/>
      </c>
      <c r="C190" t="str">
        <f t="shared" si="8"/>
        <v/>
      </c>
      <c r="AH190" s="94"/>
    </row>
    <row r="191" spans="2:34">
      <c r="B191" t="str">
        <f t="shared" si="7"/>
        <v/>
      </c>
      <c r="C191" t="str">
        <f t="shared" si="8"/>
        <v/>
      </c>
      <c r="AH191" s="94"/>
    </row>
    <row r="192" spans="2:34">
      <c r="B192" t="str">
        <f t="shared" si="7"/>
        <v/>
      </c>
      <c r="C192" t="str">
        <f t="shared" si="8"/>
        <v/>
      </c>
      <c r="AH192" s="94"/>
    </row>
    <row r="193" spans="2:34">
      <c r="B193" t="str">
        <f t="shared" si="7"/>
        <v/>
      </c>
      <c r="C193" t="str">
        <f t="shared" si="8"/>
        <v/>
      </c>
      <c r="AH193" s="94"/>
    </row>
    <row r="194" spans="2:34">
      <c r="B194" t="str">
        <f t="shared" si="7"/>
        <v/>
      </c>
      <c r="C194" t="str">
        <f t="shared" si="8"/>
        <v/>
      </c>
      <c r="AH194" s="94"/>
    </row>
    <row r="195" spans="2:34">
      <c r="B195" t="str">
        <f t="shared" si="7"/>
        <v/>
      </c>
      <c r="C195" t="str">
        <f t="shared" si="8"/>
        <v/>
      </c>
      <c r="AH195" s="94"/>
    </row>
    <row r="196" spans="2:34">
      <c r="B196" t="str">
        <f t="shared" si="7"/>
        <v/>
      </c>
      <c r="C196" t="str">
        <f t="shared" si="8"/>
        <v/>
      </c>
      <c r="AH196" s="94"/>
    </row>
    <row r="197" spans="2:34">
      <c r="B197" t="str">
        <f t="shared" si="7"/>
        <v/>
      </c>
      <c r="C197" t="str">
        <f t="shared" si="8"/>
        <v/>
      </c>
    </row>
    <row r="198" spans="2:34">
      <c r="B198" t="str">
        <f t="shared" si="7"/>
        <v/>
      </c>
      <c r="C198" t="str">
        <f t="shared" si="8"/>
        <v/>
      </c>
    </row>
    <row r="199" spans="2:34">
      <c r="B199" t="str">
        <f t="shared" si="7"/>
        <v/>
      </c>
      <c r="C199" t="str">
        <f t="shared" ref="C199:C262" si="9">IF($G199&lt;&gt;"",IF(COUNTA(PREFIX)=0,PRODUCT_NAME&amp;"\"&amp;$G199,PREFIX&amp;"\"&amp;PRODUCT_NAME&amp;"\"&amp;G199),"")</f>
        <v/>
      </c>
    </row>
    <row r="200" spans="2:34">
      <c r="B200" t="str">
        <f t="shared" si="7"/>
        <v/>
      </c>
      <c r="C200" t="str">
        <f t="shared" si="9"/>
        <v/>
      </c>
    </row>
    <row r="201" spans="2:34">
      <c r="B201" t="str">
        <f t="shared" si="7"/>
        <v/>
      </c>
      <c r="C201" t="str">
        <f t="shared" si="9"/>
        <v/>
      </c>
    </row>
    <row r="202" spans="2:34">
      <c r="B202" t="str">
        <f t="shared" si="7"/>
        <v/>
      </c>
      <c r="C202" t="str">
        <f t="shared" si="9"/>
        <v/>
      </c>
    </row>
    <row r="203" spans="2:34">
      <c r="B203" t="str">
        <f t="shared" si="7"/>
        <v/>
      </c>
      <c r="C203" t="str">
        <f t="shared" si="9"/>
        <v/>
      </c>
    </row>
    <row r="204" spans="2:34">
      <c r="B204" t="str">
        <f t="shared" si="7"/>
        <v/>
      </c>
      <c r="C204" t="str">
        <f t="shared" si="9"/>
        <v/>
      </c>
    </row>
    <row r="205" spans="2:34">
      <c r="B205" t="str">
        <f t="shared" si="7"/>
        <v/>
      </c>
      <c r="C205" t="str">
        <f t="shared" si="9"/>
        <v/>
      </c>
    </row>
    <row r="206" spans="2:34">
      <c r="B206" t="str">
        <f t="shared" si="7"/>
        <v/>
      </c>
      <c r="C206" t="str">
        <f t="shared" si="9"/>
        <v/>
      </c>
    </row>
    <row r="207" spans="2:34">
      <c r="B207" t="str">
        <f t="shared" si="7"/>
        <v/>
      </c>
      <c r="C207" t="str">
        <f t="shared" si="9"/>
        <v/>
      </c>
    </row>
    <row r="208" spans="2:34">
      <c r="B208" t="str">
        <f t="shared" si="7"/>
        <v/>
      </c>
      <c r="C208" t="str">
        <f t="shared" si="9"/>
        <v/>
      </c>
    </row>
    <row r="209" spans="2:3">
      <c r="B209" t="str">
        <f t="shared" si="7"/>
        <v/>
      </c>
      <c r="C209" t="str">
        <f t="shared" si="9"/>
        <v/>
      </c>
    </row>
    <row r="210" spans="2:3">
      <c r="B210" t="str">
        <f t="shared" si="7"/>
        <v/>
      </c>
      <c r="C210" t="str">
        <f t="shared" si="9"/>
        <v/>
      </c>
    </row>
    <row r="211" spans="2:3">
      <c r="B211" t="str">
        <f t="shared" si="7"/>
        <v/>
      </c>
      <c r="C211" t="str">
        <f t="shared" si="9"/>
        <v/>
      </c>
    </row>
    <row r="212" spans="2:3">
      <c r="B212" t="str">
        <f t="shared" si="7"/>
        <v/>
      </c>
      <c r="C212" t="str">
        <f t="shared" si="9"/>
        <v/>
      </c>
    </row>
    <row r="213" spans="2:3">
      <c r="B213" t="str">
        <f t="shared" si="7"/>
        <v/>
      </c>
      <c r="C213" t="str">
        <f t="shared" si="9"/>
        <v/>
      </c>
    </row>
    <row r="214" spans="2:3">
      <c r="B214" t="str">
        <f t="shared" si="7"/>
        <v/>
      </c>
      <c r="C214" t="str">
        <f t="shared" si="9"/>
        <v/>
      </c>
    </row>
    <row r="215" spans="2:3">
      <c r="B215" t="str">
        <f t="shared" si="7"/>
        <v/>
      </c>
      <c r="C215" t="str">
        <f t="shared" si="9"/>
        <v/>
      </c>
    </row>
    <row r="216" spans="2:3">
      <c r="B216" t="str">
        <f t="shared" si="7"/>
        <v/>
      </c>
      <c r="C216" t="str">
        <f t="shared" si="9"/>
        <v/>
      </c>
    </row>
    <row r="217" spans="2:3">
      <c r="B217" t="str">
        <f t="shared" ref="B217:B280" si="10">IF($G217&lt;&gt;"","Requirement","")</f>
        <v/>
      </c>
      <c r="C217" t="str">
        <f t="shared" si="9"/>
        <v/>
      </c>
    </row>
    <row r="218" spans="2:3">
      <c r="B218" t="str">
        <f t="shared" si="10"/>
        <v/>
      </c>
      <c r="C218" t="str">
        <f t="shared" si="9"/>
        <v/>
      </c>
    </row>
    <row r="219" spans="2:3">
      <c r="B219" t="str">
        <f t="shared" si="10"/>
        <v/>
      </c>
      <c r="C219" t="str">
        <f t="shared" si="9"/>
        <v/>
      </c>
    </row>
    <row r="220" spans="2:3">
      <c r="B220" t="str">
        <f t="shared" si="10"/>
        <v/>
      </c>
      <c r="C220" t="str">
        <f t="shared" si="9"/>
        <v/>
      </c>
    </row>
    <row r="221" spans="2:3">
      <c r="B221" t="str">
        <f t="shared" si="10"/>
        <v/>
      </c>
      <c r="C221" t="str">
        <f t="shared" si="9"/>
        <v/>
      </c>
    </row>
    <row r="222" spans="2:3">
      <c r="B222" t="str">
        <f t="shared" si="10"/>
        <v/>
      </c>
      <c r="C222" t="str">
        <f t="shared" si="9"/>
        <v/>
      </c>
    </row>
    <row r="223" spans="2:3">
      <c r="B223" t="str">
        <f t="shared" si="10"/>
        <v/>
      </c>
      <c r="C223" t="str">
        <f t="shared" si="9"/>
        <v/>
      </c>
    </row>
    <row r="224" spans="2:3">
      <c r="B224" t="str">
        <f t="shared" si="10"/>
        <v/>
      </c>
      <c r="C224" t="str">
        <f t="shared" si="9"/>
        <v/>
      </c>
    </row>
    <row r="225" spans="2:3">
      <c r="B225" t="str">
        <f t="shared" si="10"/>
        <v/>
      </c>
      <c r="C225" t="str">
        <f t="shared" si="9"/>
        <v/>
      </c>
    </row>
    <row r="226" spans="2:3">
      <c r="B226" t="str">
        <f t="shared" si="10"/>
        <v/>
      </c>
      <c r="C226" t="str">
        <f t="shared" si="9"/>
        <v/>
      </c>
    </row>
    <row r="227" spans="2:3">
      <c r="B227" t="str">
        <f t="shared" si="10"/>
        <v/>
      </c>
      <c r="C227" t="str">
        <f t="shared" si="9"/>
        <v/>
      </c>
    </row>
    <row r="228" spans="2:3">
      <c r="B228" t="str">
        <f t="shared" si="10"/>
        <v/>
      </c>
      <c r="C228" t="str">
        <f t="shared" si="9"/>
        <v/>
      </c>
    </row>
    <row r="229" spans="2:3">
      <c r="B229" t="str">
        <f t="shared" si="10"/>
        <v/>
      </c>
      <c r="C229" t="str">
        <f t="shared" si="9"/>
        <v/>
      </c>
    </row>
    <row r="230" spans="2:3">
      <c r="B230" t="str">
        <f t="shared" si="10"/>
        <v/>
      </c>
      <c r="C230" t="str">
        <f t="shared" si="9"/>
        <v/>
      </c>
    </row>
    <row r="231" spans="2:3">
      <c r="B231" t="str">
        <f t="shared" si="10"/>
        <v/>
      </c>
      <c r="C231" t="str">
        <f t="shared" si="9"/>
        <v/>
      </c>
    </row>
    <row r="232" spans="2:3">
      <c r="B232" t="str">
        <f t="shared" si="10"/>
        <v/>
      </c>
      <c r="C232" t="str">
        <f t="shared" si="9"/>
        <v/>
      </c>
    </row>
    <row r="233" spans="2:3">
      <c r="B233" t="str">
        <f t="shared" si="10"/>
        <v/>
      </c>
      <c r="C233" t="str">
        <f t="shared" si="9"/>
        <v/>
      </c>
    </row>
    <row r="234" spans="2:3">
      <c r="B234" t="str">
        <f t="shared" si="10"/>
        <v/>
      </c>
      <c r="C234" t="str">
        <f t="shared" si="9"/>
        <v/>
      </c>
    </row>
    <row r="235" spans="2:3">
      <c r="B235" t="str">
        <f t="shared" si="10"/>
        <v/>
      </c>
      <c r="C235" t="str">
        <f t="shared" si="9"/>
        <v/>
      </c>
    </row>
    <row r="236" spans="2:3">
      <c r="B236" t="str">
        <f t="shared" si="10"/>
        <v/>
      </c>
      <c r="C236" t="str">
        <f t="shared" si="9"/>
        <v/>
      </c>
    </row>
    <row r="237" spans="2:3">
      <c r="B237" t="str">
        <f t="shared" si="10"/>
        <v/>
      </c>
      <c r="C237" t="str">
        <f t="shared" si="9"/>
        <v/>
      </c>
    </row>
    <row r="238" spans="2:3">
      <c r="B238" t="str">
        <f t="shared" si="10"/>
        <v/>
      </c>
      <c r="C238" t="str">
        <f t="shared" si="9"/>
        <v/>
      </c>
    </row>
    <row r="239" spans="2:3">
      <c r="B239" t="str">
        <f t="shared" si="10"/>
        <v/>
      </c>
      <c r="C239" t="str">
        <f t="shared" si="9"/>
        <v/>
      </c>
    </row>
    <row r="240" spans="2:3">
      <c r="B240" t="str">
        <f t="shared" si="10"/>
        <v/>
      </c>
      <c r="C240" t="str">
        <f t="shared" si="9"/>
        <v/>
      </c>
    </row>
    <row r="241" spans="2:3">
      <c r="B241" t="str">
        <f t="shared" si="10"/>
        <v/>
      </c>
      <c r="C241" t="str">
        <f t="shared" si="9"/>
        <v/>
      </c>
    </row>
    <row r="242" spans="2:3">
      <c r="B242" t="str">
        <f t="shared" si="10"/>
        <v/>
      </c>
      <c r="C242" t="str">
        <f t="shared" si="9"/>
        <v/>
      </c>
    </row>
    <row r="243" spans="2:3">
      <c r="B243" t="str">
        <f t="shared" si="10"/>
        <v/>
      </c>
      <c r="C243" t="str">
        <f t="shared" si="9"/>
        <v/>
      </c>
    </row>
    <row r="244" spans="2:3">
      <c r="B244" t="str">
        <f t="shared" si="10"/>
        <v/>
      </c>
      <c r="C244" t="str">
        <f t="shared" si="9"/>
        <v/>
      </c>
    </row>
    <row r="245" spans="2:3">
      <c r="B245" t="str">
        <f t="shared" si="10"/>
        <v/>
      </c>
      <c r="C245" t="str">
        <f t="shared" si="9"/>
        <v/>
      </c>
    </row>
    <row r="246" spans="2:3">
      <c r="B246" t="str">
        <f t="shared" si="10"/>
        <v/>
      </c>
      <c r="C246" t="str">
        <f t="shared" si="9"/>
        <v/>
      </c>
    </row>
    <row r="247" spans="2:3">
      <c r="B247" t="str">
        <f t="shared" si="10"/>
        <v/>
      </c>
      <c r="C247" t="str">
        <f t="shared" si="9"/>
        <v/>
      </c>
    </row>
    <row r="248" spans="2:3">
      <c r="B248" t="str">
        <f t="shared" si="10"/>
        <v/>
      </c>
      <c r="C248" t="str">
        <f t="shared" si="9"/>
        <v/>
      </c>
    </row>
    <row r="249" spans="2:3">
      <c r="B249" t="str">
        <f t="shared" si="10"/>
        <v/>
      </c>
      <c r="C249" t="str">
        <f t="shared" si="9"/>
        <v/>
      </c>
    </row>
    <row r="250" spans="2:3">
      <c r="B250" t="str">
        <f t="shared" si="10"/>
        <v/>
      </c>
      <c r="C250" t="str">
        <f t="shared" si="9"/>
        <v/>
      </c>
    </row>
    <row r="251" spans="2:3">
      <c r="B251" t="str">
        <f t="shared" si="10"/>
        <v/>
      </c>
      <c r="C251" t="str">
        <f t="shared" si="9"/>
        <v/>
      </c>
    </row>
    <row r="252" spans="2:3">
      <c r="B252" t="str">
        <f t="shared" si="10"/>
        <v/>
      </c>
      <c r="C252" t="str">
        <f t="shared" si="9"/>
        <v/>
      </c>
    </row>
    <row r="253" spans="2:3">
      <c r="B253" t="str">
        <f t="shared" si="10"/>
        <v/>
      </c>
      <c r="C253" t="str">
        <f t="shared" si="9"/>
        <v/>
      </c>
    </row>
    <row r="254" spans="2:3">
      <c r="B254" t="str">
        <f t="shared" si="10"/>
        <v/>
      </c>
      <c r="C254" t="str">
        <f t="shared" si="9"/>
        <v/>
      </c>
    </row>
    <row r="255" spans="2:3">
      <c r="B255" t="str">
        <f t="shared" si="10"/>
        <v/>
      </c>
      <c r="C255" t="str">
        <f t="shared" si="9"/>
        <v/>
      </c>
    </row>
    <row r="256" spans="2:3">
      <c r="B256" t="str">
        <f t="shared" si="10"/>
        <v/>
      </c>
      <c r="C256" t="str">
        <f t="shared" si="9"/>
        <v/>
      </c>
    </row>
    <row r="257" spans="2:3">
      <c r="B257" t="str">
        <f t="shared" si="10"/>
        <v/>
      </c>
      <c r="C257" t="str">
        <f t="shared" si="9"/>
        <v/>
      </c>
    </row>
    <row r="258" spans="2:3">
      <c r="B258" t="str">
        <f t="shared" si="10"/>
        <v/>
      </c>
      <c r="C258" t="str">
        <f t="shared" si="9"/>
        <v/>
      </c>
    </row>
    <row r="259" spans="2:3">
      <c r="B259" t="str">
        <f t="shared" si="10"/>
        <v/>
      </c>
      <c r="C259" t="str">
        <f t="shared" si="9"/>
        <v/>
      </c>
    </row>
    <row r="260" spans="2:3">
      <c r="B260" t="str">
        <f t="shared" si="10"/>
        <v/>
      </c>
      <c r="C260" t="str">
        <f t="shared" si="9"/>
        <v/>
      </c>
    </row>
    <row r="261" spans="2:3">
      <c r="B261" t="str">
        <f t="shared" si="10"/>
        <v/>
      </c>
      <c r="C261" t="str">
        <f t="shared" si="9"/>
        <v/>
      </c>
    </row>
    <row r="262" spans="2:3">
      <c r="B262" t="str">
        <f t="shared" si="10"/>
        <v/>
      </c>
      <c r="C262" t="str">
        <f t="shared" si="9"/>
        <v/>
      </c>
    </row>
    <row r="263" spans="2:3">
      <c r="B263" t="str">
        <f t="shared" si="10"/>
        <v/>
      </c>
      <c r="C263" t="str">
        <f t="shared" ref="C263:C326" si="11">IF($G263&lt;&gt;"",IF(COUNTA(PREFIX)=0,PRODUCT_NAME&amp;"\"&amp;$G263,PREFIX&amp;"\"&amp;PRODUCT_NAME&amp;"\"&amp;G263),"")</f>
        <v/>
      </c>
    </row>
    <row r="264" spans="2:3">
      <c r="B264" t="str">
        <f t="shared" si="10"/>
        <v/>
      </c>
      <c r="C264" t="str">
        <f t="shared" si="11"/>
        <v/>
      </c>
    </row>
    <row r="265" spans="2:3">
      <c r="B265" t="str">
        <f t="shared" si="10"/>
        <v/>
      </c>
      <c r="C265" t="str">
        <f t="shared" si="11"/>
        <v/>
      </c>
    </row>
    <row r="266" spans="2:3">
      <c r="B266" t="str">
        <f t="shared" si="10"/>
        <v/>
      </c>
      <c r="C266" t="str">
        <f t="shared" si="11"/>
        <v/>
      </c>
    </row>
    <row r="267" spans="2:3">
      <c r="B267" t="str">
        <f t="shared" si="10"/>
        <v/>
      </c>
      <c r="C267" t="str">
        <f t="shared" si="11"/>
        <v/>
      </c>
    </row>
    <row r="268" spans="2:3">
      <c r="B268" t="str">
        <f t="shared" si="10"/>
        <v/>
      </c>
      <c r="C268" t="str">
        <f t="shared" si="11"/>
        <v/>
      </c>
    </row>
    <row r="269" spans="2:3">
      <c r="B269" t="str">
        <f t="shared" si="10"/>
        <v/>
      </c>
      <c r="C269" t="str">
        <f t="shared" si="11"/>
        <v/>
      </c>
    </row>
    <row r="270" spans="2:3">
      <c r="B270" t="str">
        <f t="shared" si="10"/>
        <v/>
      </c>
      <c r="C270" t="str">
        <f t="shared" si="11"/>
        <v/>
      </c>
    </row>
    <row r="271" spans="2:3">
      <c r="B271" t="str">
        <f t="shared" si="10"/>
        <v/>
      </c>
      <c r="C271" t="str">
        <f t="shared" si="11"/>
        <v/>
      </c>
    </row>
    <row r="272" spans="2:3">
      <c r="B272" t="str">
        <f t="shared" si="10"/>
        <v/>
      </c>
      <c r="C272" t="str">
        <f t="shared" si="11"/>
        <v/>
      </c>
    </row>
    <row r="273" spans="2:3">
      <c r="B273" t="str">
        <f t="shared" si="10"/>
        <v/>
      </c>
      <c r="C273" t="str">
        <f t="shared" si="11"/>
        <v/>
      </c>
    </row>
    <row r="274" spans="2:3">
      <c r="B274" t="str">
        <f t="shared" si="10"/>
        <v/>
      </c>
      <c r="C274" t="str">
        <f t="shared" si="11"/>
        <v/>
      </c>
    </row>
    <row r="275" spans="2:3">
      <c r="B275" t="str">
        <f t="shared" si="10"/>
        <v/>
      </c>
      <c r="C275" t="str">
        <f t="shared" si="11"/>
        <v/>
      </c>
    </row>
    <row r="276" spans="2:3">
      <c r="B276" t="str">
        <f t="shared" si="10"/>
        <v/>
      </c>
      <c r="C276" t="str">
        <f t="shared" si="11"/>
        <v/>
      </c>
    </row>
    <row r="277" spans="2:3">
      <c r="B277" t="str">
        <f t="shared" si="10"/>
        <v/>
      </c>
      <c r="C277" t="str">
        <f t="shared" si="11"/>
        <v/>
      </c>
    </row>
    <row r="278" spans="2:3">
      <c r="B278" t="str">
        <f t="shared" si="10"/>
        <v/>
      </c>
      <c r="C278" t="str">
        <f t="shared" si="11"/>
        <v/>
      </c>
    </row>
    <row r="279" spans="2:3">
      <c r="B279" t="str">
        <f t="shared" si="10"/>
        <v/>
      </c>
      <c r="C279" t="str">
        <f t="shared" si="11"/>
        <v/>
      </c>
    </row>
    <row r="280" spans="2:3">
      <c r="B280" t="str">
        <f t="shared" si="10"/>
        <v/>
      </c>
      <c r="C280" t="str">
        <f t="shared" si="11"/>
        <v/>
      </c>
    </row>
    <row r="281" spans="2:3">
      <c r="B281" t="str">
        <f t="shared" ref="B281:B344" si="12">IF($G281&lt;&gt;"","Requirement","")</f>
        <v/>
      </c>
      <c r="C281" t="str">
        <f t="shared" si="11"/>
        <v/>
      </c>
    </row>
    <row r="282" spans="2:3">
      <c r="B282" t="str">
        <f t="shared" si="12"/>
        <v/>
      </c>
      <c r="C282" t="str">
        <f t="shared" si="11"/>
        <v/>
      </c>
    </row>
    <row r="283" spans="2:3">
      <c r="B283" t="str">
        <f t="shared" si="12"/>
        <v/>
      </c>
      <c r="C283" t="str">
        <f t="shared" si="11"/>
        <v/>
      </c>
    </row>
    <row r="284" spans="2:3">
      <c r="B284" t="str">
        <f t="shared" si="12"/>
        <v/>
      </c>
      <c r="C284" t="str">
        <f t="shared" si="11"/>
        <v/>
      </c>
    </row>
    <row r="285" spans="2:3">
      <c r="B285" t="str">
        <f t="shared" si="12"/>
        <v/>
      </c>
      <c r="C285" t="str">
        <f t="shared" si="11"/>
        <v/>
      </c>
    </row>
    <row r="286" spans="2:3">
      <c r="B286" t="str">
        <f t="shared" si="12"/>
        <v/>
      </c>
      <c r="C286" t="str">
        <f t="shared" si="11"/>
        <v/>
      </c>
    </row>
    <row r="287" spans="2:3">
      <c r="B287" t="str">
        <f t="shared" si="12"/>
        <v/>
      </c>
      <c r="C287" t="str">
        <f t="shared" si="11"/>
        <v/>
      </c>
    </row>
    <row r="288" spans="2:3">
      <c r="B288" t="str">
        <f t="shared" si="12"/>
        <v/>
      </c>
      <c r="C288" t="str">
        <f t="shared" si="11"/>
        <v/>
      </c>
    </row>
    <row r="289" spans="2:3">
      <c r="B289" t="str">
        <f t="shared" si="12"/>
        <v/>
      </c>
      <c r="C289" t="str">
        <f t="shared" si="11"/>
        <v/>
      </c>
    </row>
    <row r="290" spans="2:3">
      <c r="B290" t="str">
        <f t="shared" si="12"/>
        <v/>
      </c>
      <c r="C290" t="str">
        <f t="shared" si="11"/>
        <v/>
      </c>
    </row>
    <row r="291" spans="2:3">
      <c r="B291" t="str">
        <f t="shared" si="12"/>
        <v/>
      </c>
      <c r="C291" t="str">
        <f t="shared" si="11"/>
        <v/>
      </c>
    </row>
    <row r="292" spans="2:3">
      <c r="B292" t="str">
        <f t="shared" si="12"/>
        <v/>
      </c>
      <c r="C292" t="str">
        <f t="shared" si="11"/>
        <v/>
      </c>
    </row>
    <row r="293" spans="2:3">
      <c r="B293" t="str">
        <f t="shared" si="12"/>
        <v/>
      </c>
      <c r="C293" t="str">
        <f t="shared" si="11"/>
        <v/>
      </c>
    </row>
    <row r="294" spans="2:3">
      <c r="B294" t="str">
        <f t="shared" si="12"/>
        <v/>
      </c>
      <c r="C294" t="str">
        <f t="shared" si="11"/>
        <v/>
      </c>
    </row>
    <row r="295" spans="2:3">
      <c r="B295" t="str">
        <f t="shared" si="12"/>
        <v/>
      </c>
      <c r="C295" t="str">
        <f t="shared" si="11"/>
        <v/>
      </c>
    </row>
    <row r="296" spans="2:3">
      <c r="B296" t="str">
        <f t="shared" si="12"/>
        <v/>
      </c>
      <c r="C296" t="str">
        <f t="shared" si="11"/>
        <v/>
      </c>
    </row>
    <row r="297" spans="2:3">
      <c r="B297" t="str">
        <f t="shared" si="12"/>
        <v/>
      </c>
      <c r="C297" t="str">
        <f t="shared" si="11"/>
        <v/>
      </c>
    </row>
    <row r="298" spans="2:3">
      <c r="B298" t="str">
        <f t="shared" si="12"/>
        <v/>
      </c>
      <c r="C298" t="str">
        <f t="shared" si="11"/>
        <v/>
      </c>
    </row>
    <row r="299" spans="2:3">
      <c r="B299" t="str">
        <f t="shared" si="12"/>
        <v/>
      </c>
      <c r="C299" t="str">
        <f t="shared" si="11"/>
        <v/>
      </c>
    </row>
    <row r="300" spans="2:3">
      <c r="B300" t="str">
        <f t="shared" si="12"/>
        <v/>
      </c>
      <c r="C300" t="str">
        <f t="shared" si="11"/>
        <v/>
      </c>
    </row>
    <row r="301" spans="2:3">
      <c r="B301" t="str">
        <f t="shared" si="12"/>
        <v/>
      </c>
      <c r="C301" t="str">
        <f t="shared" si="11"/>
        <v/>
      </c>
    </row>
    <row r="302" spans="2:3">
      <c r="B302" t="str">
        <f t="shared" si="12"/>
        <v/>
      </c>
      <c r="C302" t="str">
        <f t="shared" si="11"/>
        <v/>
      </c>
    </row>
    <row r="303" spans="2:3">
      <c r="B303" t="str">
        <f t="shared" si="12"/>
        <v/>
      </c>
      <c r="C303" t="str">
        <f t="shared" si="11"/>
        <v/>
      </c>
    </row>
    <row r="304" spans="2:3">
      <c r="B304" t="str">
        <f t="shared" si="12"/>
        <v/>
      </c>
      <c r="C304" t="str">
        <f t="shared" si="11"/>
        <v/>
      </c>
    </row>
    <row r="305" spans="2:3">
      <c r="B305" t="str">
        <f t="shared" si="12"/>
        <v/>
      </c>
      <c r="C305" t="str">
        <f t="shared" si="11"/>
        <v/>
      </c>
    </row>
    <row r="306" spans="2:3">
      <c r="B306" t="str">
        <f t="shared" si="12"/>
        <v/>
      </c>
      <c r="C306" t="str">
        <f t="shared" si="11"/>
        <v/>
      </c>
    </row>
    <row r="307" spans="2:3">
      <c r="B307" t="str">
        <f t="shared" si="12"/>
        <v/>
      </c>
      <c r="C307" t="str">
        <f t="shared" si="11"/>
        <v/>
      </c>
    </row>
    <row r="308" spans="2:3">
      <c r="B308" t="str">
        <f t="shared" si="12"/>
        <v/>
      </c>
      <c r="C308" t="str">
        <f t="shared" si="11"/>
        <v/>
      </c>
    </row>
    <row r="309" spans="2:3">
      <c r="B309" t="str">
        <f t="shared" si="12"/>
        <v/>
      </c>
      <c r="C309" t="str">
        <f t="shared" si="11"/>
        <v/>
      </c>
    </row>
    <row r="310" spans="2:3">
      <c r="B310" t="str">
        <f t="shared" si="12"/>
        <v/>
      </c>
      <c r="C310" t="str">
        <f t="shared" si="11"/>
        <v/>
      </c>
    </row>
    <row r="311" spans="2:3">
      <c r="B311" t="str">
        <f t="shared" si="12"/>
        <v/>
      </c>
      <c r="C311" t="str">
        <f t="shared" si="11"/>
        <v/>
      </c>
    </row>
    <row r="312" spans="2:3">
      <c r="B312" t="str">
        <f t="shared" si="12"/>
        <v/>
      </c>
      <c r="C312" t="str">
        <f t="shared" si="11"/>
        <v/>
      </c>
    </row>
    <row r="313" spans="2:3">
      <c r="B313" t="str">
        <f t="shared" si="12"/>
        <v/>
      </c>
      <c r="C313" t="str">
        <f t="shared" si="11"/>
        <v/>
      </c>
    </row>
    <row r="314" spans="2:3">
      <c r="B314" t="str">
        <f t="shared" si="12"/>
        <v/>
      </c>
      <c r="C314" t="str">
        <f t="shared" si="11"/>
        <v/>
      </c>
    </row>
    <row r="315" spans="2:3">
      <c r="B315" t="str">
        <f t="shared" si="12"/>
        <v/>
      </c>
      <c r="C315" t="str">
        <f t="shared" si="11"/>
        <v/>
      </c>
    </row>
    <row r="316" spans="2:3">
      <c r="B316" t="str">
        <f t="shared" si="12"/>
        <v/>
      </c>
      <c r="C316" t="str">
        <f t="shared" si="11"/>
        <v/>
      </c>
    </row>
    <row r="317" spans="2:3">
      <c r="B317" t="str">
        <f t="shared" si="12"/>
        <v/>
      </c>
      <c r="C317" t="str">
        <f t="shared" si="11"/>
        <v/>
      </c>
    </row>
    <row r="318" spans="2:3">
      <c r="B318" t="str">
        <f t="shared" si="12"/>
        <v/>
      </c>
      <c r="C318" t="str">
        <f t="shared" si="11"/>
        <v/>
      </c>
    </row>
    <row r="319" spans="2:3">
      <c r="B319" t="str">
        <f t="shared" si="12"/>
        <v/>
      </c>
      <c r="C319" t="str">
        <f t="shared" si="11"/>
        <v/>
      </c>
    </row>
    <row r="320" spans="2:3">
      <c r="B320" t="str">
        <f t="shared" si="12"/>
        <v/>
      </c>
      <c r="C320" t="str">
        <f t="shared" si="11"/>
        <v/>
      </c>
    </row>
    <row r="321" spans="2:3">
      <c r="B321" t="str">
        <f t="shared" si="12"/>
        <v/>
      </c>
      <c r="C321" t="str">
        <f t="shared" si="11"/>
        <v/>
      </c>
    </row>
    <row r="322" spans="2:3">
      <c r="B322" t="str">
        <f t="shared" si="12"/>
        <v/>
      </c>
      <c r="C322" t="str">
        <f t="shared" si="11"/>
        <v/>
      </c>
    </row>
    <row r="323" spans="2:3">
      <c r="B323" t="str">
        <f t="shared" si="12"/>
        <v/>
      </c>
      <c r="C323" t="str">
        <f t="shared" si="11"/>
        <v/>
      </c>
    </row>
    <row r="324" spans="2:3">
      <c r="B324" t="str">
        <f t="shared" si="12"/>
        <v/>
      </c>
      <c r="C324" t="str">
        <f t="shared" si="11"/>
        <v/>
      </c>
    </row>
    <row r="325" spans="2:3">
      <c r="B325" t="str">
        <f t="shared" si="12"/>
        <v/>
      </c>
      <c r="C325" t="str">
        <f t="shared" si="11"/>
        <v/>
      </c>
    </row>
    <row r="326" spans="2:3">
      <c r="B326" t="str">
        <f t="shared" si="12"/>
        <v/>
      </c>
      <c r="C326" t="str">
        <f t="shared" si="11"/>
        <v/>
      </c>
    </row>
    <row r="327" spans="2:3">
      <c r="B327" t="str">
        <f t="shared" si="12"/>
        <v/>
      </c>
      <c r="C327" t="str">
        <f t="shared" ref="C327:C390" si="13">IF($G327&lt;&gt;"",IF(COUNTA(PREFIX)=0,PRODUCT_NAME&amp;"\"&amp;$G327,PREFIX&amp;"\"&amp;PRODUCT_NAME&amp;"\"&amp;G327),"")</f>
        <v/>
      </c>
    </row>
    <row r="328" spans="2:3">
      <c r="B328" t="str">
        <f t="shared" si="12"/>
        <v/>
      </c>
      <c r="C328" t="str">
        <f t="shared" si="13"/>
        <v/>
      </c>
    </row>
    <row r="329" spans="2:3">
      <c r="B329" t="str">
        <f t="shared" si="12"/>
        <v/>
      </c>
      <c r="C329" t="str">
        <f t="shared" si="13"/>
        <v/>
      </c>
    </row>
    <row r="330" spans="2:3">
      <c r="B330" t="str">
        <f t="shared" si="12"/>
        <v/>
      </c>
      <c r="C330" t="str">
        <f t="shared" si="13"/>
        <v/>
      </c>
    </row>
    <row r="331" spans="2:3">
      <c r="B331" t="str">
        <f t="shared" si="12"/>
        <v/>
      </c>
      <c r="C331" t="str">
        <f t="shared" si="13"/>
        <v/>
      </c>
    </row>
    <row r="332" spans="2:3">
      <c r="B332" t="str">
        <f t="shared" si="12"/>
        <v/>
      </c>
      <c r="C332" t="str">
        <f t="shared" si="13"/>
        <v/>
      </c>
    </row>
    <row r="333" spans="2:3">
      <c r="B333" t="str">
        <f t="shared" si="12"/>
        <v/>
      </c>
      <c r="C333" t="str">
        <f t="shared" si="13"/>
        <v/>
      </c>
    </row>
    <row r="334" spans="2:3">
      <c r="B334" t="str">
        <f t="shared" si="12"/>
        <v/>
      </c>
      <c r="C334" t="str">
        <f t="shared" si="13"/>
        <v/>
      </c>
    </row>
    <row r="335" spans="2:3">
      <c r="B335" t="str">
        <f t="shared" si="12"/>
        <v/>
      </c>
      <c r="C335" t="str">
        <f t="shared" si="13"/>
        <v/>
      </c>
    </row>
    <row r="336" spans="2:3">
      <c r="B336" t="str">
        <f t="shared" si="12"/>
        <v/>
      </c>
      <c r="C336" t="str">
        <f t="shared" si="13"/>
        <v/>
      </c>
    </row>
    <row r="337" spans="2:3">
      <c r="B337" t="str">
        <f t="shared" si="12"/>
        <v/>
      </c>
      <c r="C337" t="str">
        <f t="shared" si="13"/>
        <v/>
      </c>
    </row>
    <row r="338" spans="2:3">
      <c r="B338" t="str">
        <f t="shared" si="12"/>
        <v/>
      </c>
      <c r="C338" t="str">
        <f t="shared" si="13"/>
        <v/>
      </c>
    </row>
    <row r="339" spans="2:3">
      <c r="B339" t="str">
        <f t="shared" si="12"/>
        <v/>
      </c>
      <c r="C339" t="str">
        <f t="shared" si="13"/>
        <v/>
      </c>
    </row>
    <row r="340" spans="2:3">
      <c r="B340" t="str">
        <f t="shared" si="12"/>
        <v/>
      </c>
      <c r="C340" t="str">
        <f t="shared" si="13"/>
        <v/>
      </c>
    </row>
    <row r="341" spans="2:3">
      <c r="B341" t="str">
        <f t="shared" si="12"/>
        <v/>
      </c>
      <c r="C341" t="str">
        <f t="shared" si="13"/>
        <v/>
      </c>
    </row>
    <row r="342" spans="2:3">
      <c r="B342" t="str">
        <f t="shared" si="12"/>
        <v/>
      </c>
      <c r="C342" t="str">
        <f t="shared" si="13"/>
        <v/>
      </c>
    </row>
    <row r="343" spans="2:3">
      <c r="B343" t="str">
        <f t="shared" si="12"/>
        <v/>
      </c>
      <c r="C343" t="str">
        <f t="shared" si="13"/>
        <v/>
      </c>
    </row>
    <row r="344" spans="2:3">
      <c r="B344" t="str">
        <f t="shared" si="12"/>
        <v/>
      </c>
      <c r="C344" t="str">
        <f t="shared" si="13"/>
        <v/>
      </c>
    </row>
    <row r="345" spans="2:3">
      <c r="B345" t="str">
        <f t="shared" ref="B345:B408" si="14">IF($G345&lt;&gt;"","Requirement","")</f>
        <v/>
      </c>
      <c r="C345" t="str">
        <f t="shared" si="13"/>
        <v/>
      </c>
    </row>
    <row r="346" spans="2:3">
      <c r="B346" t="str">
        <f t="shared" si="14"/>
        <v/>
      </c>
      <c r="C346" t="str">
        <f t="shared" si="13"/>
        <v/>
      </c>
    </row>
    <row r="347" spans="2:3">
      <c r="B347" t="str">
        <f t="shared" si="14"/>
        <v/>
      </c>
      <c r="C347" t="str">
        <f t="shared" si="13"/>
        <v/>
      </c>
    </row>
    <row r="348" spans="2:3">
      <c r="B348" t="str">
        <f t="shared" si="14"/>
        <v/>
      </c>
      <c r="C348" t="str">
        <f t="shared" si="13"/>
        <v/>
      </c>
    </row>
    <row r="349" spans="2:3">
      <c r="B349" t="str">
        <f t="shared" si="14"/>
        <v/>
      </c>
      <c r="C349" t="str">
        <f t="shared" si="13"/>
        <v/>
      </c>
    </row>
    <row r="350" spans="2:3">
      <c r="B350" t="str">
        <f t="shared" si="14"/>
        <v/>
      </c>
      <c r="C350" t="str">
        <f t="shared" si="13"/>
        <v/>
      </c>
    </row>
    <row r="351" spans="2:3">
      <c r="B351" t="str">
        <f t="shared" si="14"/>
        <v/>
      </c>
      <c r="C351" t="str">
        <f t="shared" si="13"/>
        <v/>
      </c>
    </row>
    <row r="352" spans="2:3">
      <c r="B352" t="str">
        <f t="shared" si="14"/>
        <v/>
      </c>
      <c r="C352" t="str">
        <f t="shared" si="13"/>
        <v/>
      </c>
    </row>
    <row r="353" spans="2:3">
      <c r="B353" t="str">
        <f t="shared" si="14"/>
        <v/>
      </c>
      <c r="C353" t="str">
        <f t="shared" si="13"/>
        <v/>
      </c>
    </row>
    <row r="354" spans="2:3">
      <c r="B354" t="str">
        <f t="shared" si="14"/>
        <v/>
      </c>
      <c r="C354" t="str">
        <f t="shared" si="13"/>
        <v/>
      </c>
    </row>
    <row r="355" spans="2:3">
      <c r="B355" t="str">
        <f t="shared" si="14"/>
        <v/>
      </c>
      <c r="C355" t="str">
        <f t="shared" si="13"/>
        <v/>
      </c>
    </row>
    <row r="356" spans="2:3">
      <c r="B356" t="str">
        <f t="shared" si="14"/>
        <v/>
      </c>
      <c r="C356" t="str">
        <f t="shared" si="13"/>
        <v/>
      </c>
    </row>
    <row r="357" spans="2:3">
      <c r="B357" t="str">
        <f t="shared" si="14"/>
        <v/>
      </c>
      <c r="C357" t="str">
        <f t="shared" si="13"/>
        <v/>
      </c>
    </row>
    <row r="358" spans="2:3">
      <c r="B358" t="str">
        <f t="shared" si="14"/>
        <v/>
      </c>
      <c r="C358" t="str">
        <f t="shared" si="13"/>
        <v/>
      </c>
    </row>
    <row r="359" spans="2:3">
      <c r="B359" t="str">
        <f t="shared" si="14"/>
        <v/>
      </c>
      <c r="C359" t="str">
        <f t="shared" si="13"/>
        <v/>
      </c>
    </row>
    <row r="360" spans="2:3">
      <c r="B360" t="str">
        <f t="shared" si="14"/>
        <v/>
      </c>
      <c r="C360" t="str">
        <f t="shared" si="13"/>
        <v/>
      </c>
    </row>
    <row r="361" spans="2:3">
      <c r="B361" t="str">
        <f t="shared" si="14"/>
        <v/>
      </c>
      <c r="C361" t="str">
        <f t="shared" si="13"/>
        <v/>
      </c>
    </row>
    <row r="362" spans="2:3">
      <c r="B362" t="str">
        <f t="shared" si="14"/>
        <v/>
      </c>
      <c r="C362" t="str">
        <f t="shared" si="13"/>
        <v/>
      </c>
    </row>
    <row r="363" spans="2:3">
      <c r="B363" t="str">
        <f t="shared" si="14"/>
        <v/>
      </c>
      <c r="C363" t="str">
        <f t="shared" si="13"/>
        <v/>
      </c>
    </row>
    <row r="364" spans="2:3">
      <c r="B364" t="str">
        <f t="shared" si="14"/>
        <v/>
      </c>
      <c r="C364" t="str">
        <f t="shared" si="13"/>
        <v/>
      </c>
    </row>
    <row r="365" spans="2:3">
      <c r="B365" t="str">
        <f t="shared" si="14"/>
        <v/>
      </c>
      <c r="C365" t="str">
        <f t="shared" si="13"/>
        <v/>
      </c>
    </row>
    <row r="366" spans="2:3">
      <c r="B366" t="str">
        <f t="shared" si="14"/>
        <v/>
      </c>
      <c r="C366" t="str">
        <f t="shared" si="13"/>
        <v/>
      </c>
    </row>
    <row r="367" spans="2:3">
      <c r="B367" t="str">
        <f t="shared" si="14"/>
        <v/>
      </c>
      <c r="C367" t="str">
        <f t="shared" si="13"/>
        <v/>
      </c>
    </row>
    <row r="368" spans="2:3">
      <c r="B368" t="str">
        <f t="shared" si="14"/>
        <v/>
      </c>
      <c r="C368" t="str">
        <f t="shared" si="13"/>
        <v/>
      </c>
    </row>
    <row r="369" spans="2:3">
      <c r="B369" t="str">
        <f t="shared" si="14"/>
        <v/>
      </c>
      <c r="C369" t="str">
        <f t="shared" si="13"/>
        <v/>
      </c>
    </row>
    <row r="370" spans="2:3">
      <c r="B370" t="str">
        <f t="shared" si="14"/>
        <v/>
      </c>
      <c r="C370" t="str">
        <f t="shared" si="13"/>
        <v/>
      </c>
    </row>
    <row r="371" spans="2:3">
      <c r="B371" t="str">
        <f t="shared" si="14"/>
        <v/>
      </c>
      <c r="C371" t="str">
        <f t="shared" si="13"/>
        <v/>
      </c>
    </row>
    <row r="372" spans="2:3">
      <c r="B372" t="str">
        <f t="shared" si="14"/>
        <v/>
      </c>
      <c r="C372" t="str">
        <f t="shared" si="13"/>
        <v/>
      </c>
    </row>
    <row r="373" spans="2:3">
      <c r="B373" t="str">
        <f t="shared" si="14"/>
        <v/>
      </c>
      <c r="C373" t="str">
        <f t="shared" si="13"/>
        <v/>
      </c>
    </row>
    <row r="374" spans="2:3">
      <c r="B374" t="str">
        <f t="shared" si="14"/>
        <v/>
      </c>
      <c r="C374" t="str">
        <f t="shared" si="13"/>
        <v/>
      </c>
    </row>
    <row r="375" spans="2:3">
      <c r="B375" t="str">
        <f t="shared" si="14"/>
        <v/>
      </c>
      <c r="C375" t="str">
        <f t="shared" si="13"/>
        <v/>
      </c>
    </row>
    <row r="376" spans="2:3">
      <c r="B376" t="str">
        <f t="shared" si="14"/>
        <v/>
      </c>
      <c r="C376" t="str">
        <f t="shared" si="13"/>
        <v/>
      </c>
    </row>
    <row r="377" spans="2:3">
      <c r="B377" t="str">
        <f t="shared" si="14"/>
        <v/>
      </c>
      <c r="C377" t="str">
        <f t="shared" si="13"/>
        <v/>
      </c>
    </row>
    <row r="378" spans="2:3">
      <c r="B378" t="str">
        <f t="shared" si="14"/>
        <v/>
      </c>
      <c r="C378" t="str">
        <f t="shared" si="13"/>
        <v/>
      </c>
    </row>
    <row r="379" spans="2:3">
      <c r="B379" t="str">
        <f t="shared" si="14"/>
        <v/>
      </c>
      <c r="C379" t="str">
        <f t="shared" si="13"/>
        <v/>
      </c>
    </row>
    <row r="380" spans="2:3">
      <c r="B380" t="str">
        <f t="shared" si="14"/>
        <v/>
      </c>
      <c r="C380" t="str">
        <f t="shared" si="13"/>
        <v/>
      </c>
    </row>
    <row r="381" spans="2:3">
      <c r="B381" t="str">
        <f t="shared" si="14"/>
        <v/>
      </c>
      <c r="C381" t="str">
        <f t="shared" si="13"/>
        <v/>
      </c>
    </row>
    <row r="382" spans="2:3">
      <c r="B382" t="str">
        <f t="shared" si="14"/>
        <v/>
      </c>
      <c r="C382" t="str">
        <f t="shared" si="13"/>
        <v/>
      </c>
    </row>
    <row r="383" spans="2:3">
      <c r="B383" t="str">
        <f t="shared" si="14"/>
        <v/>
      </c>
      <c r="C383" t="str">
        <f t="shared" si="13"/>
        <v/>
      </c>
    </row>
    <row r="384" spans="2:3">
      <c r="B384" t="str">
        <f t="shared" si="14"/>
        <v/>
      </c>
      <c r="C384" t="str">
        <f t="shared" si="13"/>
        <v/>
      </c>
    </row>
    <row r="385" spans="2:3">
      <c r="B385" t="str">
        <f t="shared" si="14"/>
        <v/>
      </c>
      <c r="C385" t="str">
        <f t="shared" si="13"/>
        <v/>
      </c>
    </row>
    <row r="386" spans="2:3">
      <c r="B386" t="str">
        <f t="shared" si="14"/>
        <v/>
      </c>
      <c r="C386" t="str">
        <f t="shared" si="13"/>
        <v/>
      </c>
    </row>
    <row r="387" spans="2:3">
      <c r="B387" t="str">
        <f t="shared" si="14"/>
        <v/>
      </c>
      <c r="C387" t="str">
        <f t="shared" si="13"/>
        <v/>
      </c>
    </row>
    <row r="388" spans="2:3">
      <c r="B388" t="str">
        <f t="shared" si="14"/>
        <v/>
      </c>
      <c r="C388" t="str">
        <f t="shared" si="13"/>
        <v/>
      </c>
    </row>
    <row r="389" spans="2:3">
      <c r="B389" t="str">
        <f t="shared" si="14"/>
        <v/>
      </c>
      <c r="C389" t="str">
        <f t="shared" si="13"/>
        <v/>
      </c>
    </row>
    <row r="390" spans="2:3">
      <c r="B390" t="str">
        <f t="shared" si="14"/>
        <v/>
      </c>
      <c r="C390" t="str">
        <f t="shared" si="13"/>
        <v/>
      </c>
    </row>
    <row r="391" spans="2:3">
      <c r="B391" t="str">
        <f t="shared" si="14"/>
        <v/>
      </c>
      <c r="C391" t="str">
        <f t="shared" ref="C391:C454" si="15">IF($G391&lt;&gt;"",IF(COUNTA(PREFIX)=0,PRODUCT_NAME&amp;"\"&amp;$G391,PREFIX&amp;"\"&amp;PRODUCT_NAME&amp;"\"&amp;G391),"")</f>
        <v/>
      </c>
    </row>
    <row r="392" spans="2:3">
      <c r="B392" t="str">
        <f t="shared" si="14"/>
        <v/>
      </c>
      <c r="C392" t="str">
        <f t="shared" si="15"/>
        <v/>
      </c>
    </row>
    <row r="393" spans="2:3">
      <c r="B393" t="str">
        <f t="shared" si="14"/>
        <v/>
      </c>
      <c r="C393" t="str">
        <f t="shared" si="15"/>
        <v/>
      </c>
    </row>
    <row r="394" spans="2:3">
      <c r="B394" t="str">
        <f t="shared" si="14"/>
        <v/>
      </c>
      <c r="C394" t="str">
        <f t="shared" si="15"/>
        <v/>
      </c>
    </row>
    <row r="395" spans="2:3">
      <c r="B395" t="str">
        <f t="shared" si="14"/>
        <v/>
      </c>
      <c r="C395" t="str">
        <f t="shared" si="15"/>
        <v/>
      </c>
    </row>
    <row r="396" spans="2:3">
      <c r="B396" t="str">
        <f t="shared" si="14"/>
        <v/>
      </c>
      <c r="C396" t="str">
        <f t="shared" si="15"/>
        <v/>
      </c>
    </row>
    <row r="397" spans="2:3">
      <c r="B397" t="str">
        <f t="shared" si="14"/>
        <v/>
      </c>
      <c r="C397" t="str">
        <f t="shared" si="15"/>
        <v/>
      </c>
    </row>
    <row r="398" spans="2:3">
      <c r="B398" t="str">
        <f t="shared" si="14"/>
        <v/>
      </c>
      <c r="C398" t="str">
        <f t="shared" si="15"/>
        <v/>
      </c>
    </row>
    <row r="399" spans="2:3">
      <c r="B399" t="str">
        <f t="shared" si="14"/>
        <v/>
      </c>
      <c r="C399" t="str">
        <f t="shared" si="15"/>
        <v/>
      </c>
    </row>
    <row r="400" spans="2:3">
      <c r="B400" t="str">
        <f t="shared" si="14"/>
        <v/>
      </c>
      <c r="C400" t="str">
        <f t="shared" si="15"/>
        <v/>
      </c>
    </row>
    <row r="401" spans="2:3">
      <c r="B401" t="str">
        <f t="shared" si="14"/>
        <v/>
      </c>
      <c r="C401" t="str">
        <f t="shared" si="15"/>
        <v/>
      </c>
    </row>
    <row r="402" spans="2:3">
      <c r="B402" t="str">
        <f t="shared" si="14"/>
        <v/>
      </c>
      <c r="C402" t="str">
        <f t="shared" si="15"/>
        <v/>
      </c>
    </row>
    <row r="403" spans="2:3">
      <c r="B403" t="str">
        <f t="shared" si="14"/>
        <v/>
      </c>
      <c r="C403" t="str">
        <f t="shared" si="15"/>
        <v/>
      </c>
    </row>
    <row r="404" spans="2:3">
      <c r="B404" t="str">
        <f t="shared" si="14"/>
        <v/>
      </c>
      <c r="C404" t="str">
        <f t="shared" si="15"/>
        <v/>
      </c>
    </row>
    <row r="405" spans="2:3">
      <c r="B405" t="str">
        <f t="shared" si="14"/>
        <v/>
      </c>
      <c r="C405" t="str">
        <f t="shared" si="15"/>
        <v/>
      </c>
    </row>
    <row r="406" spans="2:3">
      <c r="B406" t="str">
        <f t="shared" si="14"/>
        <v/>
      </c>
      <c r="C406" t="str">
        <f t="shared" si="15"/>
        <v/>
      </c>
    </row>
    <row r="407" spans="2:3">
      <c r="B407" t="str">
        <f t="shared" si="14"/>
        <v/>
      </c>
      <c r="C407" t="str">
        <f t="shared" si="15"/>
        <v/>
      </c>
    </row>
    <row r="408" spans="2:3">
      <c r="B408" t="str">
        <f t="shared" si="14"/>
        <v/>
      </c>
      <c r="C408" t="str">
        <f t="shared" si="15"/>
        <v/>
      </c>
    </row>
    <row r="409" spans="2:3">
      <c r="B409" t="str">
        <f t="shared" ref="B409:B472" si="16">IF($G409&lt;&gt;"","Requirement","")</f>
        <v/>
      </c>
      <c r="C409" t="str">
        <f t="shared" si="15"/>
        <v/>
      </c>
    </row>
    <row r="410" spans="2:3">
      <c r="B410" t="str">
        <f t="shared" si="16"/>
        <v/>
      </c>
      <c r="C410" t="str">
        <f t="shared" si="15"/>
        <v/>
      </c>
    </row>
    <row r="411" spans="2:3">
      <c r="B411" t="str">
        <f t="shared" si="16"/>
        <v/>
      </c>
      <c r="C411" t="str">
        <f t="shared" si="15"/>
        <v/>
      </c>
    </row>
    <row r="412" spans="2:3">
      <c r="B412" t="str">
        <f t="shared" si="16"/>
        <v/>
      </c>
      <c r="C412" t="str">
        <f t="shared" si="15"/>
        <v/>
      </c>
    </row>
    <row r="413" spans="2:3">
      <c r="B413" t="str">
        <f t="shared" si="16"/>
        <v/>
      </c>
      <c r="C413" t="str">
        <f t="shared" si="15"/>
        <v/>
      </c>
    </row>
    <row r="414" spans="2:3">
      <c r="B414" t="str">
        <f t="shared" si="16"/>
        <v/>
      </c>
      <c r="C414" t="str">
        <f t="shared" si="15"/>
        <v/>
      </c>
    </row>
    <row r="415" spans="2:3">
      <c r="B415" t="str">
        <f t="shared" si="16"/>
        <v/>
      </c>
      <c r="C415" t="str">
        <f t="shared" si="15"/>
        <v/>
      </c>
    </row>
    <row r="416" spans="2:3">
      <c r="B416" t="str">
        <f t="shared" si="16"/>
        <v/>
      </c>
      <c r="C416" t="str">
        <f t="shared" si="15"/>
        <v/>
      </c>
    </row>
    <row r="417" spans="2:3">
      <c r="B417" t="str">
        <f t="shared" si="16"/>
        <v/>
      </c>
      <c r="C417" t="str">
        <f t="shared" si="15"/>
        <v/>
      </c>
    </row>
    <row r="418" spans="2:3">
      <c r="B418" t="str">
        <f t="shared" si="16"/>
        <v/>
      </c>
      <c r="C418" t="str">
        <f t="shared" si="15"/>
        <v/>
      </c>
    </row>
    <row r="419" spans="2:3">
      <c r="B419" t="str">
        <f t="shared" si="16"/>
        <v/>
      </c>
      <c r="C419" t="str">
        <f t="shared" si="15"/>
        <v/>
      </c>
    </row>
    <row r="420" spans="2:3">
      <c r="B420" t="str">
        <f t="shared" si="16"/>
        <v/>
      </c>
      <c r="C420" t="str">
        <f t="shared" si="15"/>
        <v/>
      </c>
    </row>
    <row r="421" spans="2:3">
      <c r="B421" t="str">
        <f t="shared" si="16"/>
        <v/>
      </c>
      <c r="C421" t="str">
        <f t="shared" si="15"/>
        <v/>
      </c>
    </row>
    <row r="422" spans="2:3">
      <c r="B422" t="str">
        <f t="shared" si="16"/>
        <v/>
      </c>
      <c r="C422" t="str">
        <f t="shared" si="15"/>
        <v/>
      </c>
    </row>
    <row r="423" spans="2:3">
      <c r="B423" t="str">
        <f t="shared" si="16"/>
        <v/>
      </c>
      <c r="C423" t="str">
        <f t="shared" si="15"/>
        <v/>
      </c>
    </row>
    <row r="424" spans="2:3">
      <c r="B424" t="str">
        <f t="shared" si="16"/>
        <v/>
      </c>
      <c r="C424" t="str">
        <f t="shared" si="15"/>
        <v/>
      </c>
    </row>
    <row r="425" spans="2:3">
      <c r="B425" t="str">
        <f t="shared" si="16"/>
        <v/>
      </c>
      <c r="C425" t="str">
        <f t="shared" si="15"/>
        <v/>
      </c>
    </row>
    <row r="426" spans="2:3">
      <c r="B426" t="str">
        <f t="shared" si="16"/>
        <v/>
      </c>
      <c r="C426" t="str">
        <f t="shared" si="15"/>
        <v/>
      </c>
    </row>
    <row r="427" spans="2:3">
      <c r="B427" t="str">
        <f t="shared" si="16"/>
        <v/>
      </c>
      <c r="C427" t="str">
        <f t="shared" si="15"/>
        <v/>
      </c>
    </row>
    <row r="428" spans="2:3">
      <c r="B428" t="str">
        <f t="shared" si="16"/>
        <v/>
      </c>
      <c r="C428" t="str">
        <f t="shared" si="15"/>
        <v/>
      </c>
    </row>
    <row r="429" spans="2:3">
      <c r="B429" t="str">
        <f t="shared" si="16"/>
        <v/>
      </c>
      <c r="C429" t="str">
        <f t="shared" si="15"/>
        <v/>
      </c>
    </row>
    <row r="430" spans="2:3">
      <c r="B430" t="str">
        <f t="shared" si="16"/>
        <v/>
      </c>
      <c r="C430" t="str">
        <f t="shared" si="15"/>
        <v/>
      </c>
    </row>
    <row r="431" spans="2:3">
      <c r="B431" t="str">
        <f t="shared" si="16"/>
        <v/>
      </c>
      <c r="C431" t="str">
        <f t="shared" si="15"/>
        <v/>
      </c>
    </row>
    <row r="432" spans="2:3">
      <c r="B432" t="str">
        <f t="shared" si="16"/>
        <v/>
      </c>
      <c r="C432" t="str">
        <f t="shared" si="15"/>
        <v/>
      </c>
    </row>
    <row r="433" spans="2:3">
      <c r="B433" t="str">
        <f t="shared" si="16"/>
        <v/>
      </c>
      <c r="C433" t="str">
        <f t="shared" si="15"/>
        <v/>
      </c>
    </row>
    <row r="434" spans="2:3">
      <c r="B434" t="str">
        <f t="shared" si="16"/>
        <v/>
      </c>
      <c r="C434" t="str">
        <f t="shared" si="15"/>
        <v/>
      </c>
    </row>
    <row r="435" spans="2:3">
      <c r="B435" t="str">
        <f t="shared" si="16"/>
        <v/>
      </c>
      <c r="C435" t="str">
        <f t="shared" si="15"/>
        <v/>
      </c>
    </row>
    <row r="436" spans="2:3">
      <c r="B436" t="str">
        <f t="shared" si="16"/>
        <v/>
      </c>
      <c r="C436" t="str">
        <f t="shared" si="15"/>
        <v/>
      </c>
    </row>
    <row r="437" spans="2:3">
      <c r="B437" t="str">
        <f t="shared" si="16"/>
        <v/>
      </c>
      <c r="C437" t="str">
        <f t="shared" si="15"/>
        <v/>
      </c>
    </row>
    <row r="438" spans="2:3">
      <c r="B438" t="str">
        <f t="shared" si="16"/>
        <v/>
      </c>
      <c r="C438" t="str">
        <f t="shared" si="15"/>
        <v/>
      </c>
    </row>
    <row r="439" spans="2:3">
      <c r="B439" t="str">
        <f t="shared" si="16"/>
        <v/>
      </c>
      <c r="C439" t="str">
        <f t="shared" si="15"/>
        <v/>
      </c>
    </row>
    <row r="440" spans="2:3">
      <c r="B440" t="str">
        <f t="shared" si="16"/>
        <v/>
      </c>
      <c r="C440" t="str">
        <f t="shared" si="15"/>
        <v/>
      </c>
    </row>
    <row r="441" spans="2:3">
      <c r="B441" t="str">
        <f t="shared" si="16"/>
        <v/>
      </c>
      <c r="C441" t="str">
        <f t="shared" si="15"/>
        <v/>
      </c>
    </row>
    <row r="442" spans="2:3">
      <c r="B442" t="str">
        <f t="shared" si="16"/>
        <v/>
      </c>
      <c r="C442" t="str">
        <f t="shared" si="15"/>
        <v/>
      </c>
    </row>
    <row r="443" spans="2:3">
      <c r="B443" t="str">
        <f t="shared" si="16"/>
        <v/>
      </c>
      <c r="C443" t="str">
        <f t="shared" si="15"/>
        <v/>
      </c>
    </row>
    <row r="444" spans="2:3">
      <c r="B444" t="str">
        <f t="shared" si="16"/>
        <v/>
      </c>
      <c r="C444" t="str">
        <f t="shared" si="15"/>
        <v/>
      </c>
    </row>
    <row r="445" spans="2:3">
      <c r="B445" t="str">
        <f t="shared" si="16"/>
        <v/>
      </c>
      <c r="C445" t="str">
        <f t="shared" si="15"/>
        <v/>
      </c>
    </row>
    <row r="446" spans="2:3">
      <c r="B446" t="str">
        <f t="shared" si="16"/>
        <v/>
      </c>
      <c r="C446" t="str">
        <f t="shared" si="15"/>
        <v/>
      </c>
    </row>
    <row r="447" spans="2:3">
      <c r="B447" t="str">
        <f t="shared" si="16"/>
        <v/>
      </c>
      <c r="C447" t="str">
        <f t="shared" si="15"/>
        <v/>
      </c>
    </row>
    <row r="448" spans="2:3">
      <c r="B448" t="str">
        <f t="shared" si="16"/>
        <v/>
      </c>
      <c r="C448" t="str">
        <f t="shared" si="15"/>
        <v/>
      </c>
    </row>
    <row r="449" spans="2:3">
      <c r="B449" t="str">
        <f t="shared" si="16"/>
        <v/>
      </c>
      <c r="C449" t="str">
        <f t="shared" si="15"/>
        <v/>
      </c>
    </row>
    <row r="450" spans="2:3">
      <c r="B450" t="str">
        <f t="shared" si="16"/>
        <v/>
      </c>
      <c r="C450" t="str">
        <f t="shared" si="15"/>
        <v/>
      </c>
    </row>
    <row r="451" spans="2:3">
      <c r="B451" t="str">
        <f t="shared" si="16"/>
        <v/>
      </c>
      <c r="C451" t="str">
        <f t="shared" si="15"/>
        <v/>
      </c>
    </row>
    <row r="452" spans="2:3">
      <c r="B452" t="str">
        <f t="shared" si="16"/>
        <v/>
      </c>
      <c r="C452" t="str">
        <f t="shared" si="15"/>
        <v/>
      </c>
    </row>
    <row r="453" spans="2:3">
      <c r="B453" t="str">
        <f t="shared" si="16"/>
        <v/>
      </c>
      <c r="C453" t="str">
        <f t="shared" si="15"/>
        <v/>
      </c>
    </row>
    <row r="454" spans="2:3">
      <c r="B454" t="str">
        <f t="shared" si="16"/>
        <v/>
      </c>
      <c r="C454" t="str">
        <f t="shared" si="15"/>
        <v/>
      </c>
    </row>
    <row r="455" spans="2:3">
      <c r="B455" t="str">
        <f t="shared" si="16"/>
        <v/>
      </c>
      <c r="C455" t="str">
        <f t="shared" ref="C455:C500" si="17">IF($G455&lt;&gt;"",IF(COUNTA(PREFIX)=0,PRODUCT_NAME&amp;"\"&amp;$G455,PREFIX&amp;"\"&amp;PRODUCT_NAME&amp;"\"&amp;G455),"")</f>
        <v/>
      </c>
    </row>
    <row r="456" spans="2:3">
      <c r="B456" t="str">
        <f t="shared" si="16"/>
        <v/>
      </c>
      <c r="C456" t="str">
        <f t="shared" si="17"/>
        <v/>
      </c>
    </row>
    <row r="457" spans="2:3">
      <c r="B457" t="str">
        <f t="shared" si="16"/>
        <v/>
      </c>
      <c r="C457" t="str">
        <f t="shared" si="17"/>
        <v/>
      </c>
    </row>
    <row r="458" spans="2:3">
      <c r="B458" t="str">
        <f t="shared" si="16"/>
        <v/>
      </c>
      <c r="C458" t="str">
        <f t="shared" si="17"/>
        <v/>
      </c>
    </row>
    <row r="459" spans="2:3">
      <c r="B459" t="str">
        <f t="shared" si="16"/>
        <v/>
      </c>
      <c r="C459" t="str">
        <f t="shared" si="17"/>
        <v/>
      </c>
    </row>
    <row r="460" spans="2:3">
      <c r="B460" t="str">
        <f t="shared" si="16"/>
        <v/>
      </c>
      <c r="C460" t="str">
        <f t="shared" si="17"/>
        <v/>
      </c>
    </row>
    <row r="461" spans="2:3">
      <c r="B461" t="str">
        <f t="shared" si="16"/>
        <v/>
      </c>
      <c r="C461" t="str">
        <f t="shared" si="17"/>
        <v/>
      </c>
    </row>
    <row r="462" spans="2:3">
      <c r="B462" t="str">
        <f t="shared" si="16"/>
        <v/>
      </c>
      <c r="C462" t="str">
        <f t="shared" si="17"/>
        <v/>
      </c>
    </row>
    <row r="463" spans="2:3">
      <c r="B463" t="str">
        <f t="shared" si="16"/>
        <v/>
      </c>
      <c r="C463" t="str">
        <f t="shared" si="17"/>
        <v/>
      </c>
    </row>
    <row r="464" spans="2:3">
      <c r="B464" t="str">
        <f t="shared" si="16"/>
        <v/>
      </c>
      <c r="C464" t="str">
        <f t="shared" si="17"/>
        <v/>
      </c>
    </row>
    <row r="465" spans="2:3">
      <c r="B465" t="str">
        <f t="shared" si="16"/>
        <v/>
      </c>
      <c r="C465" t="str">
        <f t="shared" si="17"/>
        <v/>
      </c>
    </row>
    <row r="466" spans="2:3">
      <c r="B466" t="str">
        <f t="shared" si="16"/>
        <v/>
      </c>
      <c r="C466" t="str">
        <f t="shared" si="17"/>
        <v/>
      </c>
    </row>
    <row r="467" spans="2:3">
      <c r="B467" t="str">
        <f t="shared" si="16"/>
        <v/>
      </c>
      <c r="C467" t="str">
        <f t="shared" si="17"/>
        <v/>
      </c>
    </row>
    <row r="468" spans="2:3">
      <c r="B468" t="str">
        <f t="shared" si="16"/>
        <v/>
      </c>
      <c r="C468" t="str">
        <f t="shared" si="17"/>
        <v/>
      </c>
    </row>
    <row r="469" spans="2:3">
      <c r="B469" t="str">
        <f t="shared" si="16"/>
        <v/>
      </c>
      <c r="C469" t="str">
        <f t="shared" si="17"/>
        <v/>
      </c>
    </row>
    <row r="470" spans="2:3">
      <c r="B470" t="str">
        <f t="shared" si="16"/>
        <v/>
      </c>
      <c r="C470" t="str">
        <f t="shared" si="17"/>
        <v/>
      </c>
    </row>
    <row r="471" spans="2:3">
      <c r="B471" t="str">
        <f t="shared" si="16"/>
        <v/>
      </c>
      <c r="C471" t="str">
        <f t="shared" si="17"/>
        <v/>
      </c>
    </row>
    <row r="472" spans="2:3">
      <c r="B472" t="str">
        <f t="shared" si="16"/>
        <v/>
      </c>
      <c r="C472" t="str">
        <f t="shared" si="17"/>
        <v/>
      </c>
    </row>
    <row r="473" spans="2:3">
      <c r="B473" t="str">
        <f t="shared" ref="B473:B500" si="18">IF($G473&lt;&gt;"","Requirement","")</f>
        <v/>
      </c>
      <c r="C473" t="str">
        <f t="shared" si="17"/>
        <v/>
      </c>
    </row>
    <row r="474" spans="2:3">
      <c r="B474" t="str">
        <f t="shared" si="18"/>
        <v/>
      </c>
      <c r="C474" t="str">
        <f t="shared" si="17"/>
        <v/>
      </c>
    </row>
    <row r="475" spans="2:3">
      <c r="B475" t="str">
        <f t="shared" si="18"/>
        <v/>
      </c>
      <c r="C475" t="str">
        <f t="shared" si="17"/>
        <v/>
      </c>
    </row>
    <row r="476" spans="2:3">
      <c r="B476" t="str">
        <f t="shared" si="18"/>
        <v/>
      </c>
      <c r="C476" t="str">
        <f t="shared" si="17"/>
        <v/>
      </c>
    </row>
    <row r="477" spans="2:3">
      <c r="B477" t="str">
        <f t="shared" si="18"/>
        <v/>
      </c>
      <c r="C477" t="str">
        <f t="shared" si="17"/>
        <v/>
      </c>
    </row>
    <row r="478" spans="2:3">
      <c r="B478" t="str">
        <f t="shared" si="18"/>
        <v/>
      </c>
      <c r="C478" t="str">
        <f t="shared" si="17"/>
        <v/>
      </c>
    </row>
    <row r="479" spans="2:3">
      <c r="B479" t="str">
        <f t="shared" si="18"/>
        <v/>
      </c>
      <c r="C479" t="str">
        <f t="shared" si="17"/>
        <v/>
      </c>
    </row>
    <row r="480" spans="2:3">
      <c r="B480" t="str">
        <f t="shared" si="18"/>
        <v/>
      </c>
      <c r="C480" t="str">
        <f t="shared" si="17"/>
        <v/>
      </c>
    </row>
    <row r="481" spans="2:3">
      <c r="B481" t="str">
        <f t="shared" si="18"/>
        <v/>
      </c>
      <c r="C481" t="str">
        <f t="shared" si="17"/>
        <v/>
      </c>
    </row>
    <row r="482" spans="2:3">
      <c r="B482" t="str">
        <f t="shared" si="18"/>
        <v/>
      </c>
      <c r="C482" t="str">
        <f t="shared" si="17"/>
        <v/>
      </c>
    </row>
    <row r="483" spans="2:3">
      <c r="B483" t="str">
        <f t="shared" si="18"/>
        <v/>
      </c>
      <c r="C483" t="str">
        <f t="shared" si="17"/>
        <v/>
      </c>
    </row>
    <row r="484" spans="2:3">
      <c r="B484" t="str">
        <f t="shared" si="18"/>
        <v/>
      </c>
      <c r="C484" t="str">
        <f t="shared" si="17"/>
        <v/>
      </c>
    </row>
    <row r="485" spans="2:3">
      <c r="B485" t="str">
        <f t="shared" si="18"/>
        <v/>
      </c>
      <c r="C485" t="str">
        <f t="shared" si="17"/>
        <v/>
      </c>
    </row>
    <row r="486" spans="2:3">
      <c r="B486" t="str">
        <f t="shared" si="18"/>
        <v/>
      </c>
      <c r="C486" t="str">
        <f t="shared" si="17"/>
        <v/>
      </c>
    </row>
    <row r="487" spans="2:3">
      <c r="B487" t="str">
        <f t="shared" si="18"/>
        <v/>
      </c>
      <c r="C487" t="str">
        <f t="shared" si="17"/>
        <v/>
      </c>
    </row>
    <row r="488" spans="2:3">
      <c r="B488" t="str">
        <f t="shared" si="18"/>
        <v/>
      </c>
      <c r="C488" t="str">
        <f t="shared" si="17"/>
        <v/>
      </c>
    </row>
    <row r="489" spans="2:3">
      <c r="B489" t="str">
        <f t="shared" si="18"/>
        <v/>
      </c>
      <c r="C489" t="str">
        <f t="shared" si="17"/>
        <v/>
      </c>
    </row>
    <row r="490" spans="2:3">
      <c r="B490" t="str">
        <f t="shared" si="18"/>
        <v/>
      </c>
      <c r="C490" t="str">
        <f t="shared" si="17"/>
        <v/>
      </c>
    </row>
    <row r="491" spans="2:3">
      <c r="B491" t="str">
        <f t="shared" si="18"/>
        <v/>
      </c>
      <c r="C491" t="str">
        <f t="shared" si="17"/>
        <v/>
      </c>
    </row>
    <row r="492" spans="2:3">
      <c r="B492" t="str">
        <f t="shared" si="18"/>
        <v/>
      </c>
      <c r="C492" t="str">
        <f t="shared" si="17"/>
        <v/>
      </c>
    </row>
    <row r="493" spans="2:3">
      <c r="B493" t="str">
        <f t="shared" si="18"/>
        <v/>
      </c>
      <c r="C493" t="str">
        <f t="shared" si="17"/>
        <v/>
      </c>
    </row>
    <row r="494" spans="2:3">
      <c r="B494" t="str">
        <f t="shared" si="18"/>
        <v/>
      </c>
      <c r="C494" t="str">
        <f t="shared" si="17"/>
        <v/>
      </c>
    </row>
    <row r="495" spans="2:3">
      <c r="B495" t="str">
        <f t="shared" si="18"/>
        <v/>
      </c>
      <c r="C495" t="str">
        <f t="shared" si="17"/>
        <v/>
      </c>
    </row>
    <row r="496" spans="2:3">
      <c r="B496" t="str">
        <f t="shared" si="18"/>
        <v/>
      </c>
      <c r="C496" t="str">
        <f t="shared" si="17"/>
        <v/>
      </c>
    </row>
    <row r="497" spans="2:3">
      <c r="B497" t="str">
        <f t="shared" si="18"/>
        <v/>
      </c>
      <c r="C497" t="str">
        <f t="shared" si="17"/>
        <v/>
      </c>
    </row>
    <row r="498" spans="2:3">
      <c r="B498" t="str">
        <f t="shared" si="18"/>
        <v/>
      </c>
      <c r="C498" t="str">
        <f t="shared" si="17"/>
        <v/>
      </c>
    </row>
    <row r="499" spans="2:3">
      <c r="B499" t="str">
        <f t="shared" si="18"/>
        <v/>
      </c>
      <c r="C499" t="str">
        <f t="shared" si="17"/>
        <v/>
      </c>
    </row>
    <row r="500" spans="2:3">
      <c r="B500" t="str">
        <f t="shared" si="18"/>
        <v/>
      </c>
      <c r="C500" t="str">
        <f t="shared" si="17"/>
        <v/>
      </c>
    </row>
  </sheetData>
  <conditionalFormatting sqref="J1:AC1">
    <cfRule type="cellIs" dxfId="9" priority="22" operator="equal">
      <formula>"2. SHOULD"</formula>
    </cfRule>
    <cfRule type="cellIs" dxfId="8" priority="23" operator="equal">
      <formula>"3. N/A"</formula>
    </cfRule>
    <cfRule type="cellIs" dxfId="7" priority="24" operator="equal">
      <formula>"1. MUST"</formula>
    </cfRule>
  </conditionalFormatting>
  <conditionalFormatting sqref="AE1:AF1">
    <cfRule type="expression" dxfId="6" priority="25">
      <formula>IF(AND($K1="REJECTED",$AE1=""),1,0)</formula>
    </cfRule>
  </conditionalFormatting>
  <conditionalFormatting sqref="AG1">
    <cfRule type="expression" dxfId="5" priority="26">
      <formula>IF(AND($K1="INHERITED",$AG1=""),1,0)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Feuil11"/>
  <dimension ref="A1:T45"/>
  <sheetViews>
    <sheetView workbookViewId="0">
      <selection activeCell="C6" sqref="C6"/>
    </sheetView>
  </sheetViews>
  <sheetFormatPr defaultColWidth="11.42578125" defaultRowHeight="15"/>
  <cols>
    <col min="1" max="1" width="3.85546875" style="121" customWidth="1"/>
    <col min="2" max="2" width="42.42578125" style="121" bestFit="1" customWidth="1"/>
    <col min="3" max="3" width="20.7109375" style="121" customWidth="1"/>
    <col min="4" max="16384" width="11.42578125" style="121"/>
  </cols>
  <sheetData>
    <row r="1" spans="1:20">
      <c r="A1" s="34"/>
      <c r="B1" s="34"/>
      <c r="C1" s="34"/>
      <c r="D1" s="34"/>
      <c r="E1" s="34"/>
      <c r="F1" s="34"/>
      <c r="G1" s="34"/>
      <c r="H1" s="34"/>
      <c r="I1" s="34"/>
      <c r="J1" s="34"/>
      <c r="K1" s="34"/>
      <c r="L1" s="34"/>
      <c r="M1" s="34"/>
      <c r="N1" s="34"/>
      <c r="O1" s="34"/>
      <c r="P1" s="34"/>
      <c r="Q1" s="34"/>
      <c r="R1" s="34"/>
      <c r="S1" s="34"/>
      <c r="T1" s="34"/>
    </row>
    <row r="2" spans="1:20" ht="15.75" thickBot="1">
      <c r="A2" s="34"/>
      <c r="B2" s="36"/>
      <c r="C2" s="36"/>
      <c r="D2" s="36"/>
      <c r="E2" s="36"/>
      <c r="F2" s="36"/>
      <c r="G2" s="36"/>
      <c r="H2" s="36"/>
      <c r="I2" s="36"/>
      <c r="J2" s="36"/>
      <c r="K2" s="36"/>
      <c r="L2" s="36"/>
      <c r="M2" s="34"/>
      <c r="N2" s="34"/>
      <c r="O2" s="34"/>
      <c r="P2" s="34"/>
      <c r="Q2" s="34"/>
      <c r="R2" s="34"/>
      <c r="S2" s="34"/>
      <c r="T2" s="34"/>
    </row>
    <row r="3" spans="1:20" ht="15.75" thickTop="1">
      <c r="A3" s="37"/>
      <c r="B3" s="38"/>
      <c r="C3" s="39"/>
      <c r="D3" s="40"/>
      <c r="E3" s="40"/>
      <c r="F3" s="40"/>
      <c r="G3" s="40"/>
      <c r="H3" s="40"/>
      <c r="I3" s="40"/>
      <c r="J3" s="40"/>
      <c r="K3" s="40"/>
      <c r="L3" s="41"/>
      <c r="M3" s="34"/>
      <c r="N3" s="34"/>
      <c r="O3" s="34"/>
      <c r="P3" s="34"/>
      <c r="Q3" s="34"/>
      <c r="R3" s="34"/>
      <c r="S3" s="34"/>
      <c r="T3" s="34"/>
    </row>
    <row r="4" spans="1:20">
      <c r="A4" s="37"/>
      <c r="B4" s="42" t="s">
        <v>27</v>
      </c>
      <c r="C4" s="43" t="s">
        <v>61</v>
      </c>
      <c r="D4" s="40"/>
      <c r="E4" s="40"/>
      <c r="F4" s="40"/>
      <c r="G4" s="40"/>
      <c r="H4" s="40"/>
      <c r="I4" s="40"/>
      <c r="J4" s="40"/>
      <c r="K4" s="40"/>
      <c r="L4" s="44"/>
      <c r="M4" s="34"/>
      <c r="N4" s="34"/>
      <c r="O4" s="34"/>
      <c r="P4" s="34"/>
      <c r="Q4" s="34"/>
      <c r="R4" s="34"/>
      <c r="S4" s="34"/>
      <c r="T4" s="34"/>
    </row>
    <row r="5" spans="1:20">
      <c r="A5" s="37"/>
      <c r="B5" s="45"/>
      <c r="C5" s="43"/>
      <c r="D5" s="40"/>
      <c r="E5" s="40"/>
      <c r="F5" s="40"/>
      <c r="G5" s="40"/>
      <c r="H5" s="40"/>
      <c r="I5" s="40"/>
      <c r="J5" s="40"/>
      <c r="K5" s="40"/>
      <c r="L5" s="44"/>
      <c r="M5" s="34"/>
      <c r="N5" s="34"/>
      <c r="O5" s="34"/>
      <c r="P5" s="34"/>
      <c r="Q5" s="34"/>
      <c r="R5" s="34"/>
      <c r="S5" s="34"/>
      <c r="T5" s="34"/>
    </row>
    <row r="6" spans="1:20">
      <c r="A6" s="37"/>
      <c r="B6" s="42" t="s">
        <v>17</v>
      </c>
      <c r="C6" s="43" t="s">
        <v>496</v>
      </c>
      <c r="D6" s="40"/>
      <c r="E6" s="40" t="s">
        <v>85</v>
      </c>
      <c r="F6" s="40"/>
      <c r="G6" s="40"/>
      <c r="H6" s="40"/>
      <c r="I6" s="40"/>
      <c r="J6" s="40"/>
      <c r="K6" s="40"/>
      <c r="L6" s="44"/>
      <c r="M6" s="34"/>
      <c r="N6" s="34"/>
      <c r="O6" s="34"/>
      <c r="P6" s="34"/>
      <c r="Q6" s="34"/>
      <c r="R6" s="34"/>
      <c r="S6" s="34"/>
      <c r="T6" s="34"/>
    </row>
    <row r="7" spans="1:20">
      <c r="A7" s="37"/>
      <c r="B7" s="45"/>
      <c r="C7" s="43"/>
      <c r="D7" s="40"/>
      <c r="E7" s="40"/>
      <c r="F7" s="40"/>
      <c r="G7" s="40"/>
      <c r="H7" s="40"/>
      <c r="I7" s="40"/>
      <c r="J7" s="40"/>
      <c r="K7" s="40"/>
      <c r="L7" s="44"/>
      <c r="M7" s="34"/>
      <c r="N7" s="34"/>
      <c r="O7" s="34"/>
      <c r="P7" s="34"/>
      <c r="Q7" s="34"/>
      <c r="R7" s="34"/>
      <c r="S7" s="34"/>
      <c r="T7" s="34"/>
    </row>
    <row r="8" spans="1:20">
      <c r="A8" s="37"/>
      <c r="B8" s="42" t="s">
        <v>18</v>
      </c>
      <c r="C8" s="46">
        <v>43439.407939814817</v>
      </c>
      <c r="D8" s="40"/>
      <c r="E8" s="40"/>
      <c r="F8" s="40"/>
      <c r="G8" s="40"/>
      <c r="H8" s="40"/>
      <c r="I8" s="40"/>
      <c r="J8" s="40"/>
      <c r="K8" s="40"/>
      <c r="L8" s="44"/>
      <c r="M8" s="34"/>
      <c r="N8" s="34"/>
      <c r="O8" s="34"/>
      <c r="P8" s="34"/>
      <c r="Q8" s="34"/>
      <c r="R8" s="34"/>
      <c r="S8" s="34"/>
      <c r="T8" s="34"/>
    </row>
    <row r="9" spans="1:20">
      <c r="A9" s="37"/>
      <c r="B9" s="45"/>
      <c r="C9" s="43"/>
      <c r="D9" s="40"/>
      <c r="E9" s="40"/>
      <c r="F9" s="40"/>
      <c r="G9" s="40"/>
      <c r="H9" s="40"/>
      <c r="I9" s="40"/>
      <c r="J9" s="40"/>
      <c r="K9" s="40"/>
      <c r="L9" s="44"/>
      <c r="M9" s="34"/>
      <c r="N9" s="34"/>
      <c r="O9" s="34"/>
      <c r="P9" s="34"/>
      <c r="Q9" s="34"/>
      <c r="R9" s="34"/>
      <c r="S9" s="34"/>
      <c r="T9" s="34"/>
    </row>
    <row r="10" spans="1:20">
      <c r="A10" s="37"/>
      <c r="B10" s="42" t="s">
        <v>19</v>
      </c>
      <c r="C10" s="43" t="s">
        <v>507</v>
      </c>
      <c r="D10" s="40"/>
      <c r="E10" s="40"/>
      <c r="F10" s="40"/>
      <c r="G10" s="40"/>
      <c r="H10" s="40"/>
      <c r="I10" s="40"/>
      <c r="J10" s="40"/>
      <c r="K10" s="40"/>
      <c r="L10" s="44"/>
      <c r="M10" s="34"/>
      <c r="N10" s="34"/>
      <c r="O10" s="34"/>
      <c r="P10" s="34"/>
      <c r="Q10" s="34"/>
      <c r="R10" s="34"/>
      <c r="S10" s="34"/>
      <c r="T10" s="34"/>
    </row>
    <row r="11" spans="1:20" ht="15.75" thickBot="1">
      <c r="A11" s="37"/>
      <c r="B11" s="47"/>
      <c r="C11" s="48"/>
      <c r="D11" s="49"/>
      <c r="E11" s="49"/>
      <c r="F11" s="49"/>
      <c r="G11" s="49"/>
      <c r="H11" s="49"/>
      <c r="I11" s="49"/>
      <c r="J11" s="49"/>
      <c r="K11" s="49"/>
      <c r="L11" s="50"/>
      <c r="M11" s="34"/>
      <c r="N11" s="34"/>
      <c r="O11" s="34"/>
      <c r="P11" s="34"/>
      <c r="Q11" s="34"/>
      <c r="R11" s="34"/>
      <c r="S11" s="34"/>
      <c r="T11" s="34"/>
    </row>
    <row r="12" spans="1:20" ht="15.75" thickTop="1">
      <c r="A12" s="34"/>
      <c r="B12" s="34"/>
      <c r="C12" s="34"/>
      <c r="D12" s="34"/>
      <c r="E12" s="34"/>
      <c r="F12" s="34"/>
      <c r="G12" s="34"/>
      <c r="H12" s="34"/>
      <c r="I12" s="34"/>
      <c r="J12" s="34"/>
      <c r="K12" s="34"/>
      <c r="L12" s="34"/>
      <c r="M12" s="34"/>
      <c r="N12" s="34"/>
      <c r="O12" s="34"/>
      <c r="P12" s="34"/>
      <c r="Q12" s="34"/>
      <c r="R12" s="34"/>
      <c r="S12" s="34"/>
      <c r="T12" s="34"/>
    </row>
    <row r="13" spans="1:20">
      <c r="A13" s="34"/>
      <c r="B13" s="34"/>
      <c r="C13" s="34"/>
      <c r="D13" s="34"/>
      <c r="E13" s="34"/>
      <c r="F13" s="34"/>
      <c r="G13" s="34"/>
      <c r="H13" s="34"/>
      <c r="I13" s="34"/>
      <c r="J13" s="34"/>
      <c r="K13" s="34"/>
      <c r="L13" s="34"/>
      <c r="M13" s="34"/>
      <c r="N13" s="34"/>
      <c r="O13" s="34"/>
      <c r="P13" s="34"/>
      <c r="Q13" s="34"/>
      <c r="R13" s="34"/>
      <c r="S13" s="34"/>
      <c r="T13" s="34"/>
    </row>
    <row r="14" spans="1:20">
      <c r="A14" s="34"/>
      <c r="B14" s="34"/>
      <c r="C14" s="34"/>
      <c r="D14" s="34"/>
      <c r="E14" s="34"/>
      <c r="F14" s="34"/>
      <c r="G14" s="34"/>
      <c r="H14" s="34"/>
      <c r="I14" s="34"/>
      <c r="J14" s="34"/>
      <c r="K14" s="34"/>
      <c r="L14" s="34"/>
      <c r="M14" s="34"/>
      <c r="N14" s="34"/>
      <c r="O14" s="34"/>
      <c r="P14" s="34"/>
      <c r="Q14" s="34"/>
      <c r="R14" s="34"/>
      <c r="S14" s="34"/>
      <c r="T14" s="34"/>
    </row>
    <row r="15" spans="1:20">
      <c r="A15" s="34"/>
      <c r="B15" s="34"/>
      <c r="C15" s="34"/>
      <c r="D15" s="34"/>
      <c r="E15" s="34"/>
      <c r="F15" s="34"/>
      <c r="G15" s="34"/>
      <c r="H15" s="34"/>
      <c r="I15" s="34"/>
      <c r="J15" s="34"/>
      <c r="K15" s="34"/>
      <c r="L15" s="34"/>
      <c r="M15" s="34"/>
      <c r="N15" s="34"/>
      <c r="O15" s="34"/>
      <c r="P15" s="34"/>
      <c r="Q15" s="34"/>
      <c r="R15" s="34"/>
      <c r="S15" s="34"/>
      <c r="T15" s="34"/>
    </row>
    <row r="16" spans="1:20">
      <c r="A16" s="34"/>
      <c r="B16" s="34"/>
      <c r="C16" s="34"/>
      <c r="D16" s="34"/>
      <c r="E16" s="34"/>
      <c r="F16" s="34"/>
      <c r="G16" s="34"/>
      <c r="H16" s="34"/>
      <c r="I16" s="34"/>
      <c r="J16" s="34"/>
      <c r="K16" s="34"/>
      <c r="L16" s="34"/>
      <c r="M16" s="34"/>
      <c r="N16" s="34"/>
      <c r="O16" s="34"/>
      <c r="P16" s="34"/>
      <c r="Q16" s="34"/>
      <c r="R16" s="34"/>
      <c r="S16" s="34"/>
      <c r="T16" s="34"/>
    </row>
    <row r="17" spans="1:20">
      <c r="A17" s="34"/>
      <c r="B17" s="34"/>
      <c r="C17" s="34"/>
      <c r="D17" s="34"/>
      <c r="E17" s="34"/>
      <c r="F17" s="34"/>
      <c r="G17" s="34"/>
      <c r="H17" s="34"/>
      <c r="I17" s="34"/>
      <c r="J17" s="34"/>
      <c r="K17" s="34"/>
      <c r="L17" s="34"/>
      <c r="M17" s="34"/>
      <c r="N17" s="34"/>
      <c r="O17" s="34"/>
      <c r="P17" s="34"/>
      <c r="Q17" s="34"/>
      <c r="R17" s="34"/>
      <c r="S17" s="34"/>
      <c r="T17" s="34"/>
    </row>
    <row r="18" spans="1:20">
      <c r="A18" s="34"/>
      <c r="B18" s="34"/>
      <c r="C18" s="34"/>
      <c r="D18" s="34"/>
      <c r="E18" s="34"/>
      <c r="F18" s="34"/>
      <c r="G18" s="34"/>
      <c r="H18" s="34"/>
      <c r="I18" s="34"/>
      <c r="J18" s="34"/>
      <c r="K18" s="34"/>
      <c r="L18" s="34"/>
      <c r="M18" s="34"/>
      <c r="N18" s="34"/>
      <c r="O18" s="34"/>
      <c r="P18" s="34"/>
      <c r="Q18" s="34"/>
      <c r="R18" s="34"/>
      <c r="S18" s="34"/>
      <c r="T18" s="34"/>
    </row>
    <row r="19" spans="1:20">
      <c r="A19" s="34"/>
      <c r="B19" s="34"/>
      <c r="C19" s="34"/>
      <c r="D19" s="34"/>
      <c r="E19" s="34"/>
      <c r="F19" s="34"/>
      <c r="G19" s="34"/>
      <c r="H19" s="34"/>
      <c r="I19" s="34"/>
      <c r="J19" s="34"/>
      <c r="K19" s="34"/>
      <c r="L19" s="34"/>
      <c r="M19" s="34"/>
      <c r="N19" s="34"/>
      <c r="O19" s="34"/>
      <c r="P19" s="34"/>
      <c r="Q19" s="34"/>
      <c r="R19" s="34"/>
      <c r="S19" s="34"/>
      <c r="T19" s="34"/>
    </row>
    <row r="20" spans="1:20">
      <c r="A20" s="34"/>
      <c r="B20" s="34"/>
      <c r="C20" s="34"/>
      <c r="D20" s="34"/>
      <c r="E20" s="34"/>
      <c r="F20" s="34"/>
      <c r="G20" s="34"/>
      <c r="H20" s="34"/>
      <c r="I20" s="34"/>
      <c r="J20" s="34"/>
      <c r="K20" s="34"/>
      <c r="L20" s="34"/>
      <c r="M20" s="34"/>
      <c r="N20" s="34"/>
      <c r="O20" s="34"/>
      <c r="P20" s="34"/>
      <c r="Q20" s="34"/>
      <c r="R20" s="34"/>
      <c r="S20" s="34"/>
      <c r="T20" s="34"/>
    </row>
    <row r="21" spans="1:20">
      <c r="A21" s="34"/>
      <c r="B21" s="34"/>
      <c r="C21" s="34"/>
      <c r="D21" s="34"/>
      <c r="E21" s="34"/>
      <c r="F21" s="34"/>
      <c r="G21" s="34"/>
      <c r="H21" s="34"/>
      <c r="I21" s="34"/>
      <c r="J21" s="34"/>
      <c r="K21" s="34"/>
      <c r="L21" s="34"/>
      <c r="M21" s="34"/>
      <c r="N21" s="34"/>
      <c r="O21" s="34"/>
      <c r="P21" s="34"/>
      <c r="Q21" s="34"/>
      <c r="R21" s="34"/>
      <c r="S21" s="34"/>
      <c r="T21" s="34"/>
    </row>
    <row r="22" spans="1:20">
      <c r="A22" s="34"/>
      <c r="B22" s="34"/>
      <c r="C22" s="34"/>
      <c r="D22" s="34"/>
      <c r="E22" s="34"/>
      <c r="F22" s="34"/>
      <c r="G22" s="34"/>
      <c r="H22" s="34"/>
      <c r="I22" s="34"/>
      <c r="J22" s="34"/>
      <c r="K22" s="34"/>
      <c r="L22" s="34"/>
      <c r="M22" s="34"/>
      <c r="N22" s="34"/>
      <c r="O22" s="34"/>
      <c r="P22" s="34"/>
      <c r="Q22" s="34"/>
      <c r="R22" s="34"/>
      <c r="S22" s="34"/>
      <c r="T22" s="34"/>
    </row>
    <row r="23" spans="1:20">
      <c r="A23" s="34"/>
      <c r="B23" s="34"/>
      <c r="C23" s="34"/>
      <c r="D23" s="34"/>
      <c r="E23" s="34"/>
      <c r="F23" s="34"/>
      <c r="G23" s="34"/>
      <c r="H23" s="34"/>
      <c r="I23" s="34"/>
      <c r="J23" s="34"/>
      <c r="K23" s="34"/>
      <c r="L23" s="34"/>
      <c r="M23" s="34"/>
      <c r="N23" s="34"/>
      <c r="O23" s="34"/>
      <c r="P23" s="34"/>
      <c r="Q23" s="34"/>
      <c r="R23" s="34"/>
      <c r="S23" s="34"/>
      <c r="T23" s="34"/>
    </row>
    <row r="24" spans="1:20">
      <c r="A24" s="34"/>
      <c r="B24" s="34"/>
      <c r="C24" s="34"/>
      <c r="D24" s="34"/>
      <c r="E24" s="34"/>
      <c r="F24" s="34"/>
      <c r="G24" s="34"/>
      <c r="H24" s="34"/>
      <c r="I24" s="34"/>
      <c r="J24" s="34"/>
      <c r="K24" s="34"/>
      <c r="L24" s="34"/>
      <c r="M24" s="34"/>
      <c r="N24" s="34"/>
      <c r="O24" s="34"/>
      <c r="P24" s="34"/>
      <c r="Q24" s="34"/>
      <c r="R24" s="34"/>
      <c r="S24" s="34"/>
      <c r="T24" s="34"/>
    </row>
    <row r="25" spans="1:20">
      <c r="A25" s="34"/>
      <c r="B25" s="34"/>
      <c r="C25" s="34"/>
      <c r="D25" s="34"/>
      <c r="E25" s="34"/>
      <c r="F25" s="34"/>
      <c r="G25" s="34"/>
      <c r="H25" s="34"/>
      <c r="I25" s="34"/>
      <c r="J25" s="34"/>
      <c r="K25" s="34"/>
      <c r="L25" s="34"/>
      <c r="M25" s="34"/>
      <c r="N25" s="34"/>
      <c r="O25" s="34"/>
      <c r="P25" s="34"/>
      <c r="Q25" s="34"/>
      <c r="R25" s="34"/>
      <c r="S25" s="34"/>
      <c r="T25" s="34"/>
    </row>
    <row r="26" spans="1:20">
      <c r="A26" s="34"/>
      <c r="B26" s="34"/>
      <c r="C26" s="34"/>
      <c r="D26" s="34"/>
      <c r="E26" s="34"/>
      <c r="F26" s="34"/>
      <c r="G26" s="34"/>
      <c r="H26" s="34"/>
      <c r="I26" s="34"/>
      <c r="J26" s="34"/>
      <c r="K26" s="34"/>
      <c r="L26" s="34"/>
      <c r="M26" s="34"/>
      <c r="N26" s="34"/>
      <c r="O26" s="34"/>
      <c r="P26" s="34"/>
      <c r="Q26" s="34"/>
      <c r="R26" s="34"/>
      <c r="S26" s="34"/>
      <c r="T26" s="34"/>
    </row>
    <row r="27" spans="1:20">
      <c r="A27" s="34"/>
      <c r="B27" s="34"/>
      <c r="C27" s="34"/>
      <c r="D27" s="34"/>
      <c r="E27" s="34"/>
      <c r="F27" s="34"/>
      <c r="G27" s="34"/>
      <c r="H27" s="34"/>
      <c r="I27" s="34"/>
      <c r="J27" s="34"/>
      <c r="K27" s="34"/>
      <c r="L27" s="34"/>
      <c r="M27" s="34"/>
      <c r="N27" s="34"/>
      <c r="O27" s="34"/>
      <c r="P27" s="34"/>
      <c r="Q27" s="34"/>
      <c r="R27" s="34"/>
      <c r="S27" s="34"/>
      <c r="T27" s="34"/>
    </row>
    <row r="28" spans="1:20">
      <c r="A28" s="34"/>
      <c r="B28" s="34"/>
      <c r="C28" s="34"/>
      <c r="D28" s="34"/>
      <c r="E28" s="34"/>
      <c r="F28" s="34"/>
      <c r="G28" s="34"/>
      <c r="H28" s="34"/>
      <c r="I28" s="34"/>
      <c r="J28" s="34"/>
      <c r="K28" s="34"/>
      <c r="L28" s="34"/>
      <c r="M28" s="34"/>
      <c r="N28" s="34"/>
      <c r="O28" s="34"/>
      <c r="P28" s="34"/>
      <c r="Q28" s="34"/>
      <c r="R28" s="34"/>
      <c r="S28" s="34"/>
      <c r="T28" s="34"/>
    </row>
    <row r="29" spans="1:20">
      <c r="A29" s="34"/>
      <c r="B29" s="34"/>
      <c r="C29" s="34"/>
      <c r="D29" s="34"/>
      <c r="E29" s="34"/>
      <c r="F29" s="34"/>
      <c r="G29" s="34"/>
      <c r="H29" s="34"/>
      <c r="I29" s="34"/>
      <c r="J29" s="34"/>
      <c r="K29" s="34"/>
      <c r="L29" s="34"/>
      <c r="M29" s="34"/>
      <c r="N29" s="34"/>
      <c r="O29" s="34"/>
      <c r="P29" s="34"/>
      <c r="Q29" s="34"/>
      <c r="R29" s="34"/>
      <c r="S29" s="34"/>
      <c r="T29" s="34"/>
    </row>
    <row r="30" spans="1:20">
      <c r="A30" s="34"/>
      <c r="B30" s="34"/>
      <c r="C30" s="34"/>
      <c r="D30" s="34"/>
      <c r="E30" s="34"/>
      <c r="F30" s="34"/>
      <c r="G30" s="34"/>
      <c r="H30" s="34"/>
      <c r="I30" s="34"/>
      <c r="J30" s="34"/>
      <c r="K30" s="34"/>
      <c r="L30" s="34"/>
      <c r="M30" s="34"/>
      <c r="N30" s="34"/>
      <c r="O30" s="34"/>
      <c r="P30" s="34"/>
      <c r="Q30" s="34"/>
      <c r="R30" s="34"/>
      <c r="S30" s="34"/>
      <c r="T30" s="34"/>
    </row>
    <row r="31" spans="1:20">
      <c r="A31" s="34"/>
      <c r="B31" s="34"/>
      <c r="C31" s="34"/>
      <c r="D31" s="34"/>
      <c r="E31" s="34"/>
      <c r="F31" s="34"/>
      <c r="G31" s="34"/>
      <c r="H31" s="34"/>
      <c r="I31" s="34"/>
      <c r="J31" s="34"/>
      <c r="K31" s="34"/>
      <c r="L31" s="34"/>
      <c r="M31" s="34"/>
      <c r="N31" s="34"/>
      <c r="O31" s="34"/>
      <c r="P31" s="34"/>
      <c r="Q31" s="34"/>
      <c r="R31" s="34"/>
      <c r="S31" s="34"/>
      <c r="T31" s="34"/>
    </row>
    <row r="32" spans="1:20">
      <c r="A32" s="34"/>
      <c r="B32" s="34"/>
      <c r="C32" s="34"/>
      <c r="D32" s="34"/>
      <c r="E32" s="34"/>
      <c r="F32" s="34"/>
      <c r="G32" s="34"/>
      <c r="H32" s="34"/>
      <c r="I32" s="34"/>
      <c r="J32" s="34"/>
      <c r="K32" s="34"/>
      <c r="L32" s="34"/>
      <c r="M32" s="34"/>
      <c r="N32" s="34"/>
      <c r="O32" s="34"/>
      <c r="P32" s="34"/>
      <c r="Q32" s="34"/>
      <c r="R32" s="34"/>
      <c r="S32" s="34"/>
      <c r="T32" s="34"/>
    </row>
    <row r="33" spans="1:20">
      <c r="A33" s="34"/>
      <c r="B33" s="34"/>
      <c r="C33" s="34"/>
      <c r="D33" s="34"/>
      <c r="E33" s="34"/>
      <c r="F33" s="34"/>
      <c r="G33" s="34"/>
      <c r="H33" s="34"/>
      <c r="I33" s="34"/>
      <c r="J33" s="34"/>
      <c r="K33" s="34"/>
      <c r="L33" s="34"/>
      <c r="M33" s="34"/>
      <c r="N33" s="34"/>
      <c r="O33" s="34"/>
      <c r="P33" s="34"/>
      <c r="Q33" s="34"/>
      <c r="R33" s="34"/>
      <c r="S33" s="34"/>
      <c r="T33" s="34"/>
    </row>
    <row r="34" spans="1:20">
      <c r="A34" s="34"/>
      <c r="B34" s="34"/>
      <c r="C34" s="34"/>
      <c r="D34" s="34"/>
      <c r="E34" s="34"/>
      <c r="F34" s="34"/>
      <c r="G34" s="34"/>
      <c r="H34" s="34"/>
      <c r="I34" s="34"/>
      <c r="J34" s="34"/>
      <c r="K34" s="34"/>
      <c r="L34" s="34"/>
      <c r="M34" s="34"/>
      <c r="N34" s="34"/>
      <c r="O34" s="34"/>
      <c r="P34" s="34"/>
      <c r="Q34" s="34"/>
      <c r="R34" s="34"/>
      <c r="S34" s="34"/>
      <c r="T34" s="34"/>
    </row>
    <row r="35" spans="1:20">
      <c r="A35" s="34"/>
      <c r="B35" s="34"/>
      <c r="C35" s="34"/>
      <c r="D35" s="34"/>
      <c r="E35" s="34"/>
      <c r="F35" s="34"/>
      <c r="G35" s="34"/>
      <c r="H35" s="34"/>
      <c r="I35" s="34"/>
      <c r="J35" s="34"/>
      <c r="K35" s="34"/>
      <c r="L35" s="34"/>
      <c r="M35" s="34"/>
      <c r="N35" s="34"/>
      <c r="O35" s="34"/>
      <c r="P35" s="34"/>
      <c r="Q35" s="34"/>
      <c r="R35" s="34"/>
      <c r="S35" s="34"/>
      <c r="T35" s="34"/>
    </row>
    <row r="36" spans="1:20">
      <c r="A36" s="34"/>
      <c r="B36" s="34"/>
      <c r="C36" s="34"/>
      <c r="D36" s="34"/>
      <c r="E36" s="34"/>
      <c r="F36" s="34"/>
      <c r="G36" s="34"/>
      <c r="H36" s="34"/>
      <c r="I36" s="34"/>
      <c r="J36" s="34"/>
      <c r="K36" s="34"/>
      <c r="L36" s="34"/>
      <c r="M36" s="34"/>
      <c r="N36" s="34"/>
      <c r="O36" s="34"/>
      <c r="P36" s="34"/>
      <c r="Q36" s="34"/>
      <c r="R36" s="34"/>
      <c r="S36" s="34"/>
      <c r="T36" s="34"/>
    </row>
    <row r="37" spans="1:20">
      <c r="A37" s="34"/>
      <c r="B37" s="34"/>
      <c r="C37" s="34"/>
      <c r="D37" s="34"/>
      <c r="E37" s="34"/>
      <c r="F37" s="34"/>
      <c r="G37" s="34"/>
      <c r="H37" s="34"/>
      <c r="I37" s="34"/>
      <c r="J37" s="34"/>
      <c r="K37" s="34"/>
      <c r="L37" s="34"/>
      <c r="M37" s="34"/>
      <c r="N37" s="34"/>
      <c r="O37" s="34"/>
      <c r="P37" s="34"/>
      <c r="Q37" s="34"/>
      <c r="R37" s="34"/>
      <c r="S37" s="34"/>
      <c r="T37" s="34"/>
    </row>
    <row r="38" spans="1:20">
      <c r="A38" s="34"/>
      <c r="B38" s="34"/>
      <c r="C38" s="34"/>
      <c r="D38" s="34"/>
      <c r="E38" s="34"/>
      <c r="F38" s="34"/>
      <c r="G38" s="34"/>
      <c r="H38" s="34"/>
      <c r="I38" s="34"/>
      <c r="J38" s="34"/>
      <c r="K38" s="34"/>
      <c r="L38" s="34"/>
      <c r="M38" s="34"/>
      <c r="N38" s="34"/>
      <c r="O38" s="34"/>
      <c r="P38" s="34"/>
      <c r="Q38" s="34"/>
      <c r="R38" s="34"/>
      <c r="S38" s="34"/>
      <c r="T38" s="34"/>
    </row>
    <row r="39" spans="1:20">
      <c r="A39" s="34"/>
      <c r="B39" s="34"/>
      <c r="C39" s="34"/>
      <c r="D39" s="34"/>
      <c r="E39" s="34"/>
      <c r="F39" s="34"/>
      <c r="G39" s="34"/>
      <c r="H39" s="34"/>
      <c r="I39" s="34"/>
      <c r="J39" s="34"/>
      <c r="K39" s="34"/>
      <c r="L39" s="34"/>
      <c r="M39" s="34"/>
      <c r="N39" s="34"/>
      <c r="O39" s="34"/>
      <c r="P39" s="34"/>
      <c r="Q39" s="34"/>
      <c r="R39" s="34"/>
      <c r="S39" s="34"/>
      <c r="T39" s="34"/>
    </row>
    <row r="40" spans="1:20">
      <c r="A40" s="34"/>
      <c r="B40" s="34"/>
      <c r="C40" s="34"/>
      <c r="D40" s="34"/>
      <c r="E40" s="34"/>
      <c r="F40" s="34"/>
      <c r="G40" s="34"/>
      <c r="H40" s="34"/>
      <c r="I40" s="34"/>
      <c r="J40" s="34"/>
      <c r="K40" s="34"/>
      <c r="L40" s="34"/>
      <c r="M40" s="34"/>
      <c r="N40" s="34"/>
      <c r="O40" s="34"/>
      <c r="P40" s="34"/>
      <c r="Q40" s="34"/>
      <c r="R40" s="34"/>
      <c r="S40" s="34"/>
      <c r="T40" s="34"/>
    </row>
    <row r="41" spans="1:20">
      <c r="A41" s="34"/>
      <c r="B41" s="34"/>
      <c r="C41" s="34"/>
      <c r="D41" s="34"/>
      <c r="E41" s="34"/>
      <c r="F41" s="34"/>
      <c r="G41" s="34"/>
      <c r="H41" s="34"/>
      <c r="I41" s="34"/>
      <c r="J41" s="34"/>
      <c r="K41" s="34"/>
      <c r="L41" s="34"/>
      <c r="M41" s="34"/>
      <c r="N41" s="34"/>
      <c r="O41" s="34"/>
      <c r="P41" s="34"/>
      <c r="Q41" s="34"/>
      <c r="R41" s="34"/>
      <c r="S41" s="34"/>
      <c r="T41" s="34"/>
    </row>
    <row r="42" spans="1:20">
      <c r="A42" s="34"/>
      <c r="B42" s="34"/>
      <c r="C42" s="34"/>
      <c r="D42" s="34"/>
      <c r="E42" s="34"/>
      <c r="F42" s="34"/>
      <c r="G42" s="34"/>
      <c r="H42" s="34"/>
      <c r="I42" s="34"/>
      <c r="J42" s="34"/>
      <c r="K42" s="34"/>
      <c r="L42" s="34"/>
      <c r="M42" s="34"/>
      <c r="N42" s="34"/>
      <c r="O42" s="34"/>
      <c r="P42" s="34"/>
      <c r="Q42" s="34"/>
      <c r="R42" s="34"/>
      <c r="S42" s="34"/>
      <c r="T42" s="34"/>
    </row>
    <row r="43" spans="1:20">
      <c r="A43" s="34"/>
      <c r="B43" s="34"/>
      <c r="C43" s="34"/>
      <c r="D43" s="34"/>
      <c r="E43" s="34"/>
      <c r="F43" s="34"/>
      <c r="G43" s="34"/>
      <c r="H43" s="34"/>
      <c r="I43" s="34"/>
      <c r="J43" s="34"/>
      <c r="K43" s="34"/>
      <c r="L43" s="34"/>
      <c r="M43" s="34"/>
      <c r="N43" s="34"/>
      <c r="O43" s="34"/>
      <c r="P43" s="34"/>
      <c r="Q43" s="34"/>
      <c r="R43" s="34"/>
      <c r="S43" s="34"/>
      <c r="T43" s="34"/>
    </row>
    <row r="44" spans="1:20">
      <c r="A44" s="34"/>
      <c r="B44" s="34"/>
      <c r="C44" s="34"/>
      <c r="D44" s="34"/>
      <c r="E44" s="34"/>
      <c r="F44" s="34"/>
      <c r="G44" s="34"/>
      <c r="H44" s="34"/>
      <c r="I44" s="34"/>
      <c r="J44" s="34"/>
      <c r="K44" s="34"/>
      <c r="L44" s="34"/>
      <c r="M44" s="34"/>
      <c r="N44" s="34"/>
      <c r="O44" s="34"/>
      <c r="P44" s="34"/>
      <c r="Q44" s="34"/>
      <c r="R44" s="34"/>
      <c r="S44" s="34"/>
      <c r="T44" s="34"/>
    </row>
    <row r="45" spans="1:20">
      <c r="A45" s="34"/>
      <c r="B45" s="34"/>
      <c r="C45" s="34"/>
      <c r="D45" s="34"/>
      <c r="E45" s="34"/>
      <c r="F45" s="34"/>
      <c r="G45" s="34"/>
      <c r="H45" s="34"/>
      <c r="I45" s="34"/>
      <c r="J45" s="34"/>
      <c r="K45" s="34"/>
      <c r="L45" s="34"/>
      <c r="M45" s="34"/>
      <c r="N45" s="34"/>
      <c r="O45" s="34"/>
      <c r="P45" s="34"/>
      <c r="Q45" s="34"/>
      <c r="R45" s="34"/>
      <c r="S45" s="34"/>
      <c r="T45" s="34"/>
    </row>
  </sheetData>
  <dataValidations count="2">
    <dataValidation type="list" allowBlank="1" showInputMessage="1" showErrorMessage="1" sqref="C10" xr:uid="{00000000-0002-0000-0600-000000000000}">
      <formula1>USERS</formula1>
    </dataValidation>
    <dataValidation type="list" allowBlank="1" showInputMessage="1" showErrorMessage="1" sqref="C6" xr:uid="{00000000-0002-0000-0600-000001000000}">
      <formula1>"YES,NO"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Feuil3"/>
  <dimension ref="A1:E50"/>
  <sheetViews>
    <sheetView showGridLines="0" topLeftCell="A43" zoomScale="80" zoomScaleNormal="80" zoomScalePageLayoutView="80" workbookViewId="0">
      <selection activeCell="E48" sqref="E48"/>
    </sheetView>
  </sheetViews>
  <sheetFormatPr defaultColWidth="12.42578125" defaultRowHeight="12.75"/>
  <cols>
    <col min="1" max="1" width="12.42578125" style="2"/>
    <col min="2" max="2" width="14.7109375" style="2" customWidth="1"/>
    <col min="3" max="3" width="14.140625" style="31" bestFit="1" customWidth="1"/>
    <col min="4" max="4" width="20.85546875" style="2" customWidth="1"/>
    <col min="5" max="5" width="70.42578125" style="2" customWidth="1"/>
    <col min="6" max="16384" width="12.42578125" style="2"/>
  </cols>
  <sheetData>
    <row r="1" spans="1:5">
      <c r="B1" s="1"/>
      <c r="C1" s="1"/>
      <c r="D1" s="1"/>
    </row>
    <row r="2" spans="1:5">
      <c r="B2" s="1"/>
      <c r="C2" s="1"/>
      <c r="D2" s="1"/>
    </row>
    <row r="3" spans="1:5" ht="18">
      <c r="B3" s="25"/>
      <c r="C3" s="30"/>
      <c r="D3" s="25"/>
    </row>
    <row r="4" spans="1:5" ht="18">
      <c r="B4" s="25"/>
      <c r="C4" s="30"/>
      <c r="D4" s="25"/>
    </row>
    <row r="5" spans="1:5" ht="18">
      <c r="B5" s="25"/>
      <c r="C5" s="30"/>
      <c r="D5" s="25"/>
    </row>
    <row r="6" spans="1:5" ht="18">
      <c r="B6" s="25"/>
      <c r="C6" s="30"/>
      <c r="D6" s="25"/>
    </row>
    <row r="7" spans="1:5" ht="18">
      <c r="B7" s="25"/>
      <c r="C7" s="30"/>
      <c r="D7" s="25"/>
    </row>
    <row r="8" spans="1:5" ht="18">
      <c r="B8" s="25"/>
      <c r="C8" s="30"/>
      <c r="D8" s="25"/>
    </row>
    <row r="9" spans="1:5" ht="13.5" thickBot="1"/>
    <row r="10" spans="1:5" ht="21.75" thickBot="1">
      <c r="B10" s="186" t="s">
        <v>98</v>
      </c>
      <c r="C10" s="187"/>
      <c r="D10" s="187"/>
      <c r="E10" s="188"/>
    </row>
    <row r="11" spans="1:5" s="3" customFormat="1" ht="21.75" thickBot="1">
      <c r="B11" s="116" t="s">
        <v>1</v>
      </c>
      <c r="C11" s="117" t="s">
        <v>2</v>
      </c>
      <c r="D11" s="118" t="s">
        <v>3</v>
      </c>
      <c r="E11" s="119" t="s">
        <v>53</v>
      </c>
    </row>
    <row r="12" spans="1:5">
      <c r="B12" s="88" t="s">
        <v>114</v>
      </c>
      <c r="C12" s="32">
        <v>41186</v>
      </c>
      <c r="D12" s="85" t="s">
        <v>52</v>
      </c>
      <c r="E12" s="83" t="s">
        <v>89</v>
      </c>
    </row>
    <row r="13" spans="1:5">
      <c r="B13" s="89" t="s">
        <v>115</v>
      </c>
      <c r="C13" s="33">
        <v>41190</v>
      </c>
      <c r="D13" s="80" t="s">
        <v>52</v>
      </c>
      <c r="E13" s="84" t="s">
        <v>89</v>
      </c>
    </row>
    <row r="14" spans="1:5">
      <c r="B14" s="89" t="s">
        <v>116</v>
      </c>
      <c r="C14" s="33">
        <v>41193</v>
      </c>
      <c r="D14" s="80" t="s">
        <v>52</v>
      </c>
      <c r="E14" s="84" t="s">
        <v>89</v>
      </c>
    </row>
    <row r="15" spans="1:5">
      <c r="B15" s="89" t="s">
        <v>117</v>
      </c>
      <c r="C15" s="33">
        <v>41197</v>
      </c>
      <c r="D15" s="80" t="s">
        <v>52</v>
      </c>
      <c r="E15" s="84" t="s">
        <v>90</v>
      </c>
    </row>
    <row r="16" spans="1:5">
      <c r="A16" s="28"/>
      <c r="B16" s="89" t="s">
        <v>118</v>
      </c>
      <c r="C16" s="33">
        <v>41211</v>
      </c>
      <c r="D16" s="81" t="s">
        <v>52</v>
      </c>
      <c r="E16" s="84" t="s">
        <v>91</v>
      </c>
    </row>
    <row r="17" spans="1:5" ht="91.5" customHeight="1">
      <c r="A17" s="28"/>
      <c r="B17" s="89" t="s">
        <v>119</v>
      </c>
      <c r="C17" s="33">
        <v>41227</v>
      </c>
      <c r="D17" s="81" t="s">
        <v>52</v>
      </c>
      <c r="E17" s="82" t="s">
        <v>54</v>
      </c>
    </row>
    <row r="18" spans="1:5" ht="58.5" customHeight="1">
      <c r="A18" s="28"/>
      <c r="B18" s="89" t="s">
        <v>120</v>
      </c>
      <c r="C18" s="33">
        <v>41232</v>
      </c>
      <c r="D18" s="81" t="s">
        <v>52</v>
      </c>
      <c r="E18" s="82" t="s">
        <v>62</v>
      </c>
    </row>
    <row r="19" spans="1:5" ht="27.75" customHeight="1">
      <c r="B19" s="89" t="s">
        <v>121</v>
      </c>
      <c r="C19" s="33">
        <v>41233</v>
      </c>
      <c r="D19" s="81" t="s">
        <v>52</v>
      </c>
      <c r="E19" s="82" t="s">
        <v>63</v>
      </c>
    </row>
    <row r="20" spans="1:5">
      <c r="B20" s="89" t="s">
        <v>122</v>
      </c>
      <c r="C20" s="33">
        <v>41240</v>
      </c>
      <c r="D20" s="81" t="s">
        <v>26</v>
      </c>
      <c r="E20" s="82" t="s">
        <v>84</v>
      </c>
    </row>
    <row r="21" spans="1:5">
      <c r="B21" s="89" t="s">
        <v>123</v>
      </c>
      <c r="C21" s="33">
        <v>41253</v>
      </c>
      <c r="D21" s="81" t="s">
        <v>52</v>
      </c>
      <c r="E21" s="82" t="s">
        <v>87</v>
      </c>
    </row>
    <row r="22" spans="1:5" ht="57.75" customHeight="1">
      <c r="B22" s="89" t="s">
        <v>124</v>
      </c>
      <c r="C22" s="33">
        <v>41292</v>
      </c>
      <c r="D22" s="81" t="s">
        <v>52</v>
      </c>
      <c r="E22" s="82" t="s">
        <v>99</v>
      </c>
    </row>
    <row r="23" spans="1:5">
      <c r="B23" s="89" t="s">
        <v>132</v>
      </c>
      <c r="C23" s="33">
        <v>41292</v>
      </c>
      <c r="D23" s="81" t="s">
        <v>52</v>
      </c>
      <c r="E23" s="82" t="s">
        <v>110</v>
      </c>
    </row>
    <row r="24" spans="1:5" ht="38.25">
      <c r="B24" s="89" t="s">
        <v>133</v>
      </c>
      <c r="C24" s="33">
        <v>41312</v>
      </c>
      <c r="D24" s="81" t="s">
        <v>52</v>
      </c>
      <c r="E24" s="82" t="s">
        <v>112</v>
      </c>
    </row>
    <row r="25" spans="1:5">
      <c r="B25" s="89" t="s">
        <v>134</v>
      </c>
      <c r="C25" s="33">
        <v>41313</v>
      </c>
      <c r="D25" s="81" t="s">
        <v>52</v>
      </c>
      <c r="E25" s="82" t="s">
        <v>113</v>
      </c>
    </row>
    <row r="26" spans="1:5" ht="25.5">
      <c r="B26" s="89" t="s">
        <v>135</v>
      </c>
      <c r="C26" s="33">
        <v>41323</v>
      </c>
      <c r="D26" s="81" t="s">
        <v>52</v>
      </c>
      <c r="E26" s="82" t="s">
        <v>125</v>
      </c>
    </row>
    <row r="27" spans="1:5">
      <c r="B27" s="89" t="s">
        <v>136</v>
      </c>
      <c r="C27" s="33">
        <v>41437</v>
      </c>
      <c r="D27" s="81" t="s">
        <v>126</v>
      </c>
      <c r="E27" s="82" t="s">
        <v>129</v>
      </c>
    </row>
    <row r="28" spans="1:5">
      <c r="B28" s="89" t="s">
        <v>137</v>
      </c>
      <c r="C28" s="33">
        <v>41464</v>
      </c>
      <c r="D28" s="81" t="s">
        <v>126</v>
      </c>
      <c r="E28" s="82" t="s">
        <v>131</v>
      </c>
    </row>
    <row r="29" spans="1:5" ht="25.5">
      <c r="B29" s="89" t="s">
        <v>138</v>
      </c>
      <c r="C29" s="33">
        <v>41521</v>
      </c>
      <c r="D29" s="81" t="s">
        <v>126</v>
      </c>
      <c r="E29" s="82" t="s">
        <v>139</v>
      </c>
    </row>
    <row r="30" spans="1:5" ht="25.5">
      <c r="B30" s="89" t="s">
        <v>140</v>
      </c>
      <c r="C30" s="33">
        <v>41542</v>
      </c>
      <c r="D30" s="81" t="s">
        <v>52</v>
      </c>
      <c r="E30" s="82" t="s">
        <v>141</v>
      </c>
    </row>
    <row r="31" spans="1:5" ht="152.25" customHeight="1">
      <c r="B31" s="89" t="s">
        <v>143</v>
      </c>
      <c r="C31" s="33">
        <v>41583</v>
      </c>
      <c r="D31" s="81" t="s">
        <v>126</v>
      </c>
      <c r="E31" s="82" t="s">
        <v>146</v>
      </c>
    </row>
    <row r="32" spans="1:5" ht="38.25">
      <c r="B32" s="89" t="s">
        <v>149</v>
      </c>
      <c r="C32" s="33">
        <v>41590</v>
      </c>
      <c r="D32" s="81" t="s">
        <v>126</v>
      </c>
      <c r="E32" s="82" t="s">
        <v>162</v>
      </c>
    </row>
    <row r="33" spans="2:5" ht="89.25" customHeight="1">
      <c r="B33" s="89" t="s">
        <v>161</v>
      </c>
      <c r="C33" s="33">
        <v>41593</v>
      </c>
      <c r="D33" s="81" t="s">
        <v>126</v>
      </c>
      <c r="E33" s="82" t="s">
        <v>163</v>
      </c>
    </row>
    <row r="34" spans="2:5" ht="87" customHeight="1">
      <c r="B34" s="89" t="s">
        <v>164</v>
      </c>
      <c r="C34" s="33">
        <v>41603</v>
      </c>
      <c r="D34" s="81" t="s">
        <v>126</v>
      </c>
      <c r="E34" s="82" t="s">
        <v>166</v>
      </c>
    </row>
    <row r="35" spans="2:5" ht="127.5" customHeight="1">
      <c r="B35" s="89" t="s">
        <v>168</v>
      </c>
      <c r="C35" s="33">
        <v>41658</v>
      </c>
      <c r="D35" s="81" t="s">
        <v>126</v>
      </c>
      <c r="E35" s="82" t="s">
        <v>169</v>
      </c>
    </row>
    <row r="36" spans="2:5" ht="38.25">
      <c r="B36" s="89" t="s">
        <v>171</v>
      </c>
      <c r="C36" s="33">
        <v>41628</v>
      </c>
      <c r="D36" s="81" t="s">
        <v>126</v>
      </c>
      <c r="E36" s="82" t="s">
        <v>172</v>
      </c>
    </row>
    <row r="37" spans="2:5" ht="40.5" customHeight="1">
      <c r="B37" s="89" t="s">
        <v>173</v>
      </c>
      <c r="C37" s="33">
        <v>41675</v>
      </c>
      <c r="D37" s="81" t="s">
        <v>126</v>
      </c>
      <c r="E37" s="82" t="s">
        <v>174</v>
      </c>
    </row>
    <row r="38" spans="2:5">
      <c r="B38" s="89" t="s">
        <v>175</v>
      </c>
      <c r="C38" s="33">
        <v>41696</v>
      </c>
      <c r="D38" s="81" t="s">
        <v>126</v>
      </c>
      <c r="E38" s="82" t="s">
        <v>176</v>
      </c>
    </row>
    <row r="39" spans="2:5" ht="25.5">
      <c r="B39" s="89" t="s">
        <v>177</v>
      </c>
      <c r="C39" s="33">
        <v>41737</v>
      </c>
      <c r="D39" s="81" t="s">
        <v>126</v>
      </c>
      <c r="E39" s="82" t="s">
        <v>181</v>
      </c>
    </row>
    <row r="40" spans="2:5" ht="25.5">
      <c r="B40" s="89" t="s">
        <v>180</v>
      </c>
      <c r="C40" s="33">
        <v>41793</v>
      </c>
      <c r="D40" s="81" t="s">
        <v>126</v>
      </c>
      <c r="E40" s="82" t="s">
        <v>182</v>
      </c>
    </row>
    <row r="41" spans="2:5" ht="38.25">
      <c r="B41" s="89" t="s">
        <v>183</v>
      </c>
      <c r="C41" s="33">
        <v>41879</v>
      </c>
      <c r="D41" s="81" t="s">
        <v>126</v>
      </c>
      <c r="E41" s="82" t="s">
        <v>186</v>
      </c>
    </row>
    <row r="42" spans="2:5" ht="103.5" customHeight="1">
      <c r="B42" s="89" t="s">
        <v>190</v>
      </c>
      <c r="C42" s="33">
        <v>41975</v>
      </c>
      <c r="D42" s="81" t="s">
        <v>126</v>
      </c>
      <c r="E42" s="82" t="s">
        <v>189</v>
      </c>
    </row>
    <row r="43" spans="2:5" ht="103.5" customHeight="1">
      <c r="B43" s="89" t="s">
        <v>194</v>
      </c>
      <c r="C43" s="33">
        <v>42023</v>
      </c>
      <c r="D43" s="81" t="s">
        <v>126</v>
      </c>
      <c r="E43" s="82" t="s">
        <v>197</v>
      </c>
    </row>
    <row r="44" spans="2:5" ht="103.5" customHeight="1">
      <c r="B44" s="89" t="s">
        <v>195</v>
      </c>
      <c r="C44" s="33">
        <v>42040</v>
      </c>
      <c r="D44" s="81" t="s">
        <v>126</v>
      </c>
      <c r="E44" s="82" t="s">
        <v>196</v>
      </c>
    </row>
    <row r="45" spans="2:5" ht="103.5" customHeight="1">
      <c r="B45" s="89" t="s">
        <v>198</v>
      </c>
      <c r="C45" s="33">
        <v>42081</v>
      </c>
      <c r="D45" s="81" t="s">
        <v>126</v>
      </c>
      <c r="E45" s="82" t="s">
        <v>199</v>
      </c>
    </row>
    <row r="46" spans="2:5" ht="25.5">
      <c r="B46" s="89" t="s">
        <v>200</v>
      </c>
      <c r="C46" s="33">
        <v>42160</v>
      </c>
      <c r="D46" s="81" t="s">
        <v>126</v>
      </c>
      <c r="E46" s="82" t="s">
        <v>201</v>
      </c>
    </row>
    <row r="47" spans="2:5" ht="25.5">
      <c r="B47" s="89" t="s">
        <v>207</v>
      </c>
      <c r="C47" s="33">
        <v>42186</v>
      </c>
      <c r="D47" s="81" t="s">
        <v>126</v>
      </c>
      <c r="E47" s="82" t="s">
        <v>208</v>
      </c>
    </row>
    <row r="48" spans="2:5">
      <c r="B48" s="89" t="s">
        <v>221</v>
      </c>
      <c r="C48" s="33">
        <v>42195</v>
      </c>
      <c r="D48" s="81" t="s">
        <v>126</v>
      </c>
      <c r="E48" s="82" t="s">
        <v>222</v>
      </c>
    </row>
    <row r="49" spans="2:5" ht="39" thickBot="1">
      <c r="B49" s="130" t="s">
        <v>246</v>
      </c>
      <c r="C49" s="131">
        <v>42240</v>
      </c>
      <c r="D49" s="132" t="s">
        <v>126</v>
      </c>
      <c r="E49" s="133" t="s">
        <v>247</v>
      </c>
    </row>
    <row r="50" spans="2:5" ht="15" customHeight="1">
      <c r="B50" s="189" t="s">
        <v>92</v>
      </c>
      <c r="C50" s="190"/>
      <c r="D50" s="190"/>
      <c r="E50" s="190"/>
    </row>
  </sheetData>
  <mergeCells count="3">
    <mergeCell ref="B1:D2"/>
    <mergeCell ref="B10:E10"/>
    <mergeCell ref="B50:E50"/>
  </mergeCells>
  <pageMargins left="0.7" right="0.7" top="0.75" bottom="0.75" header="0.3" footer="0.3"/>
  <pageSetup paperSize="9" orientation="portrait" horizontalDpi="4294967293" verticalDpi="429496729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ublished="0" codeName="Feuil7"/>
  <dimension ref="A1:AE7"/>
  <sheetViews>
    <sheetView workbookViewId="0">
      <selection activeCell="A2" sqref="A2:AE7"/>
    </sheetView>
  </sheetViews>
  <sheetFormatPr defaultColWidth="11.42578125" defaultRowHeight="15"/>
  <cols>
    <col min="3" max="3" width="18.85546875" customWidth="1"/>
    <col min="4" max="4" width="19.28515625" customWidth="1"/>
    <col min="5" max="5" width="35.42578125" customWidth="1"/>
  </cols>
  <sheetData>
    <row r="1" spans="1:31" ht="32.25" customHeight="1" thickBot="1">
      <c r="A1" s="51" t="s">
        <v>7</v>
      </c>
      <c r="B1" s="51" t="s">
        <v>0</v>
      </c>
      <c r="C1" s="52" t="s">
        <v>31</v>
      </c>
      <c r="D1" s="52" t="s">
        <v>8</v>
      </c>
      <c r="E1" s="52" t="s">
        <v>10</v>
      </c>
      <c r="F1" s="51" t="str">
        <f>Requirements!G2</f>
        <v>AR Series Priority</v>
      </c>
      <c r="G1" s="51" t="str">
        <f>Requirements!H2</f>
        <v>AR Series Status</v>
      </c>
      <c r="H1" s="51" t="str">
        <f>Requirements!I2</f>
        <v>WP Series Priority</v>
      </c>
      <c r="I1" s="51" t="str">
        <f>Requirements!J2</f>
        <v>WP Series Status</v>
      </c>
      <c r="J1" s="51" t="str">
        <f>Requirements!K2</f>
        <v>HL Series Priority</v>
      </c>
      <c r="K1" s="51" t="str">
        <f>Requirements!L2</f>
        <v>HL Series Status</v>
      </c>
      <c r="L1" s="51" t="str">
        <f>Requirements!M2</f>
        <v>EM/MC Series Priority</v>
      </c>
      <c r="M1" s="51" t="str">
        <f>Requirements!N2</f>
        <v>EM/MC Series Status</v>
      </c>
      <c r="N1" s="51" t="str">
        <f>Requirements!O2</f>
        <v>HL7800 (Phase 1)
Priority</v>
      </c>
      <c r="O1" s="51" t="str">
        <f>Requirements!P2</f>
        <v>HL7800 (Phase 1)
Status</v>
      </c>
      <c r="P1" s="51" t="str">
        <f>Requirements!Q2</f>
        <v>Product06 Priority</v>
      </c>
      <c r="Q1" s="51" t="str">
        <f>Requirements!R2</f>
        <v>Product06 Status</v>
      </c>
      <c r="R1" s="51" t="str">
        <f>Requirements!S2</f>
        <v>Product07 Priority</v>
      </c>
      <c r="S1" s="51" t="str">
        <f>Requirements!T2</f>
        <v>Product07 Status</v>
      </c>
      <c r="T1" s="51" t="str">
        <f>Requirements!U2</f>
        <v>Product08 Priority</v>
      </c>
      <c r="U1" s="51" t="str">
        <f>Requirements!V2</f>
        <v>Product08 Status</v>
      </c>
      <c r="V1" s="51" t="str">
        <f>Requirements!W2</f>
        <v>Product09 Priority</v>
      </c>
      <c r="W1" s="51" t="str">
        <f>Requirements!X2</f>
        <v>Product09 Status</v>
      </c>
      <c r="X1" s="51" t="str">
        <f>Requirements!Y2</f>
        <v>Product10 Priority</v>
      </c>
      <c r="Y1" s="51" t="str">
        <f>Requirements!Z2</f>
        <v>Product10 Status</v>
      </c>
      <c r="Z1" s="52" t="s">
        <v>9</v>
      </c>
      <c r="AA1" s="51" t="s">
        <v>30</v>
      </c>
      <c r="AB1" s="168" t="s">
        <v>223</v>
      </c>
      <c r="AC1" s="53" t="s">
        <v>93</v>
      </c>
      <c r="AD1" s="56" t="s">
        <v>24</v>
      </c>
      <c r="AE1" s="57" t="s">
        <v>3</v>
      </c>
    </row>
    <row r="2" spans="1:31" ht="30">
      <c r="A2" s="108" t="s">
        <v>150</v>
      </c>
      <c r="B2" s="109">
        <v>4</v>
      </c>
      <c r="C2" s="110" t="s">
        <v>68</v>
      </c>
      <c r="D2" s="110" t="s">
        <v>184</v>
      </c>
      <c r="E2" s="79" t="s">
        <v>185</v>
      </c>
      <c r="F2" s="111" t="s">
        <v>14</v>
      </c>
      <c r="G2" s="112" t="s">
        <v>4</v>
      </c>
      <c r="H2" s="111" t="s">
        <v>15</v>
      </c>
      <c r="I2" s="112" t="s">
        <v>4</v>
      </c>
      <c r="J2" s="111" t="s">
        <v>13</v>
      </c>
      <c r="K2" s="112" t="s">
        <v>4</v>
      </c>
      <c r="L2" s="111" t="s">
        <v>13</v>
      </c>
      <c r="M2" s="112" t="s">
        <v>4</v>
      </c>
      <c r="N2" s="169" t="s">
        <v>13</v>
      </c>
      <c r="O2" s="169" t="s">
        <v>4</v>
      </c>
      <c r="P2" s="169"/>
      <c r="Q2" s="169" t="s">
        <v>25</v>
      </c>
      <c r="R2" s="169" t="s">
        <v>13</v>
      </c>
      <c r="S2" s="169" t="s">
        <v>4</v>
      </c>
      <c r="T2" s="169"/>
      <c r="U2" s="169" t="s">
        <v>25</v>
      </c>
      <c r="V2" s="169" t="s">
        <v>13</v>
      </c>
      <c r="W2" s="169" t="s">
        <v>4</v>
      </c>
      <c r="X2" s="169" t="s">
        <v>13</v>
      </c>
      <c r="Y2" s="169" t="s">
        <v>4</v>
      </c>
      <c r="Z2" s="113"/>
      <c r="AA2" s="98"/>
      <c r="AB2" s="163" t="s">
        <v>224</v>
      </c>
      <c r="AC2" s="98"/>
      <c r="AD2" s="78">
        <v>42219.455868055556</v>
      </c>
      <c r="AE2" s="155" t="s">
        <v>126</v>
      </c>
    </row>
    <row r="3" spans="1:31" ht="60">
      <c r="A3" s="108" t="s">
        <v>191</v>
      </c>
      <c r="B3" s="109">
        <v>1</v>
      </c>
      <c r="C3" s="110" t="s">
        <v>68</v>
      </c>
      <c r="D3" s="110" t="s">
        <v>192</v>
      </c>
      <c r="E3" s="79" t="s">
        <v>193</v>
      </c>
      <c r="F3" s="111" t="s">
        <v>13</v>
      </c>
      <c r="G3" s="112" t="s">
        <v>4</v>
      </c>
      <c r="H3" s="111" t="s">
        <v>13</v>
      </c>
      <c r="I3" s="112" t="s">
        <v>4</v>
      </c>
      <c r="J3" s="111" t="s">
        <v>13</v>
      </c>
      <c r="K3" s="112" t="s">
        <v>4</v>
      </c>
      <c r="L3" s="111" t="s">
        <v>13</v>
      </c>
      <c r="M3" s="112" t="s">
        <v>4</v>
      </c>
      <c r="N3" s="169"/>
      <c r="O3" s="169" t="s">
        <v>25</v>
      </c>
      <c r="P3" s="169"/>
      <c r="Q3" s="169" t="s">
        <v>25</v>
      </c>
      <c r="R3" s="169"/>
      <c r="S3" s="169" t="s">
        <v>25</v>
      </c>
      <c r="T3" s="169"/>
      <c r="U3" s="169" t="s">
        <v>25</v>
      </c>
      <c r="V3" s="169"/>
      <c r="W3" s="169" t="s">
        <v>25</v>
      </c>
      <c r="X3" s="169"/>
      <c r="Y3" s="169" t="s">
        <v>25</v>
      </c>
      <c r="Z3" s="113"/>
      <c r="AA3" s="98"/>
      <c r="AB3" s="163" t="s">
        <v>225</v>
      </c>
      <c r="AC3" s="98"/>
      <c r="AD3" s="78">
        <v>42216.642476851855</v>
      </c>
      <c r="AE3" s="155" t="s">
        <v>126</v>
      </c>
    </row>
    <row r="4" spans="1:31" ht="30">
      <c r="A4" s="108" t="s">
        <v>151</v>
      </c>
      <c r="B4" s="109">
        <v>10</v>
      </c>
      <c r="C4" s="110" t="s">
        <v>69</v>
      </c>
      <c r="D4" s="110" t="s">
        <v>152</v>
      </c>
      <c r="E4" s="79" t="s">
        <v>153</v>
      </c>
      <c r="F4" s="111" t="s">
        <v>14</v>
      </c>
      <c r="G4" s="112" t="s">
        <v>4</v>
      </c>
      <c r="H4" s="111" t="s">
        <v>13</v>
      </c>
      <c r="I4" s="112" t="s">
        <v>25</v>
      </c>
      <c r="J4" s="111" t="s">
        <v>13</v>
      </c>
      <c r="K4" s="112" t="s">
        <v>5</v>
      </c>
      <c r="L4" s="111" t="s">
        <v>13</v>
      </c>
      <c r="M4" s="112" t="s">
        <v>5</v>
      </c>
      <c r="N4" s="169"/>
      <c r="O4" s="169" t="s">
        <v>25</v>
      </c>
      <c r="P4" s="169"/>
      <c r="Q4" s="169" t="s">
        <v>25</v>
      </c>
      <c r="R4" s="169"/>
      <c r="S4" s="169" t="s">
        <v>25</v>
      </c>
      <c r="T4" s="169"/>
      <c r="U4" s="169" t="s">
        <v>25</v>
      </c>
      <c r="V4" s="169"/>
      <c r="W4" s="169" t="s">
        <v>25</v>
      </c>
      <c r="X4" s="169"/>
      <c r="Y4" s="169" t="s">
        <v>25</v>
      </c>
      <c r="Z4" s="113"/>
      <c r="AA4" s="98"/>
      <c r="AB4" s="163" t="s">
        <v>224</v>
      </c>
      <c r="AC4" s="98"/>
      <c r="AD4" s="78">
        <v>42216.642476851855</v>
      </c>
      <c r="AE4" s="155" t="s">
        <v>126</v>
      </c>
    </row>
    <row r="5" spans="1:31" ht="90">
      <c r="A5" s="156" t="s">
        <v>188</v>
      </c>
      <c r="B5" s="157">
        <v>12</v>
      </c>
      <c r="C5" s="158" t="s">
        <v>70</v>
      </c>
      <c r="D5" s="158" t="s">
        <v>64</v>
      </c>
      <c r="E5" s="148" t="s">
        <v>154</v>
      </c>
      <c r="F5" s="159" t="s">
        <v>13</v>
      </c>
      <c r="G5" s="160" t="s">
        <v>159</v>
      </c>
      <c r="H5" s="159" t="s">
        <v>13</v>
      </c>
      <c r="I5" s="160" t="s">
        <v>159</v>
      </c>
      <c r="J5" s="159" t="s">
        <v>13</v>
      </c>
      <c r="K5" s="160" t="s">
        <v>4</v>
      </c>
      <c r="L5" s="159" t="s">
        <v>13</v>
      </c>
      <c r="M5" s="160" t="s">
        <v>4</v>
      </c>
      <c r="N5" s="170"/>
      <c r="O5" s="170" t="s">
        <v>25</v>
      </c>
      <c r="P5" s="170"/>
      <c r="Q5" s="170" t="s">
        <v>25</v>
      </c>
      <c r="R5" s="170"/>
      <c r="S5" s="170" t="s">
        <v>25</v>
      </c>
      <c r="T5" s="170"/>
      <c r="U5" s="170" t="s">
        <v>25</v>
      </c>
      <c r="V5" s="170"/>
      <c r="W5" s="170" t="s">
        <v>25</v>
      </c>
      <c r="X5" s="170"/>
      <c r="Y5" s="170" t="s">
        <v>25</v>
      </c>
      <c r="Z5" s="161"/>
      <c r="AA5" s="152"/>
      <c r="AB5" s="164" t="s">
        <v>225</v>
      </c>
      <c r="AC5" s="152"/>
      <c r="AD5" s="153">
        <v>42216.642476851855</v>
      </c>
      <c r="AE5" s="162" t="s">
        <v>126</v>
      </c>
    </row>
    <row r="6" spans="1:31">
      <c r="A6" s="156" t="s">
        <v>187</v>
      </c>
      <c r="B6" s="157">
        <v>6</v>
      </c>
      <c r="C6" s="158" t="s">
        <v>73</v>
      </c>
      <c r="D6" s="158" t="s">
        <v>2</v>
      </c>
      <c r="E6" s="148"/>
      <c r="F6" s="159" t="s">
        <v>13</v>
      </c>
      <c r="G6" s="160" t="s">
        <v>4</v>
      </c>
      <c r="H6" s="159" t="s">
        <v>14</v>
      </c>
      <c r="I6" s="160" t="s">
        <v>5</v>
      </c>
      <c r="J6" s="159" t="s">
        <v>15</v>
      </c>
      <c r="K6" s="160" t="s">
        <v>178</v>
      </c>
      <c r="L6" s="159" t="s">
        <v>15</v>
      </c>
      <c r="M6" s="160" t="s">
        <v>178</v>
      </c>
      <c r="N6" s="170"/>
      <c r="O6" s="170" t="s">
        <v>25</v>
      </c>
      <c r="P6" s="170"/>
      <c r="Q6" s="170" t="s">
        <v>25</v>
      </c>
      <c r="R6" s="170"/>
      <c r="S6" s="170" t="s">
        <v>25</v>
      </c>
      <c r="T6" s="170"/>
      <c r="U6" s="170" t="s">
        <v>25</v>
      </c>
      <c r="V6" s="170"/>
      <c r="W6" s="170" t="s">
        <v>25</v>
      </c>
      <c r="X6" s="170"/>
      <c r="Y6" s="170" t="s">
        <v>25</v>
      </c>
      <c r="Z6" s="161"/>
      <c r="AA6" s="152"/>
      <c r="AB6" s="164" t="s">
        <v>225</v>
      </c>
      <c r="AC6" s="152"/>
      <c r="AD6" s="153">
        <v>41963.673368055555</v>
      </c>
      <c r="AE6" s="162" t="s">
        <v>126</v>
      </c>
    </row>
    <row r="7" spans="1:31" ht="60">
      <c r="A7" s="156" t="s">
        <v>155</v>
      </c>
      <c r="B7" s="157">
        <v>10</v>
      </c>
      <c r="C7" s="158" t="s">
        <v>76</v>
      </c>
      <c r="D7" s="158" t="s">
        <v>156</v>
      </c>
      <c r="E7" s="148" t="s">
        <v>157</v>
      </c>
      <c r="F7" s="159" t="s">
        <v>14</v>
      </c>
      <c r="G7" s="160" t="s">
        <v>4</v>
      </c>
      <c r="H7" s="159" t="s">
        <v>15</v>
      </c>
      <c r="I7" s="160" t="s">
        <v>178</v>
      </c>
      <c r="J7" s="159" t="s">
        <v>14</v>
      </c>
      <c r="K7" s="160" t="s">
        <v>25</v>
      </c>
      <c r="L7" s="159" t="s">
        <v>14</v>
      </c>
      <c r="M7" s="160" t="s">
        <v>25</v>
      </c>
      <c r="N7" s="170"/>
      <c r="O7" s="170" t="s">
        <v>25</v>
      </c>
      <c r="P7" s="170"/>
      <c r="Q7" s="170" t="s">
        <v>25</v>
      </c>
      <c r="R7" s="170"/>
      <c r="S7" s="170" t="s">
        <v>25</v>
      </c>
      <c r="T7" s="170"/>
      <c r="U7" s="170" t="s">
        <v>25</v>
      </c>
      <c r="V7" s="170"/>
      <c r="W7" s="170" t="s">
        <v>25</v>
      </c>
      <c r="X7" s="170"/>
      <c r="Y7" s="170" t="s">
        <v>25</v>
      </c>
      <c r="Z7" s="161" t="s">
        <v>158</v>
      </c>
      <c r="AA7" s="152"/>
      <c r="AB7" s="164" t="s">
        <v>225</v>
      </c>
      <c r="AC7" s="152"/>
      <c r="AD7" s="153">
        <v>41585.584386574075</v>
      </c>
      <c r="AE7" s="162" t="s">
        <v>126</v>
      </c>
    </row>
  </sheetData>
  <conditionalFormatting sqref="AA1:AB1">
    <cfRule type="expression" dxfId="4" priority="10">
      <formula>IF(AND($L1="REJECTED",$AC1=""),1,0)</formula>
    </cfRule>
  </conditionalFormatting>
  <conditionalFormatting sqref="AC1">
    <cfRule type="expression" dxfId="3" priority="9">
      <formula>IF(OR(AND($L1="INHERITED",$AD1=""),AND($Z1="INHERITED",$AD1="")),1,0)</formula>
    </cfRule>
  </conditionalFormatting>
  <conditionalFormatting sqref="F1:Y1">
    <cfRule type="cellIs" dxfId="2" priority="5" operator="equal">
      <formula>"2. SHOULD"</formula>
    </cfRule>
    <cfRule type="cellIs" dxfId="1" priority="6" operator="equal">
      <formula>"3. N/A"</formula>
    </cfRule>
    <cfRule type="cellIs" dxfId="0" priority="7" operator="equal">
      <formula>"1. MUST"</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ublished="0" codeName="Feuil4"/>
  <dimension ref="A1"/>
  <sheetViews>
    <sheetView workbookViewId="0">
      <selection activeCell="A2" sqref="A2:A70"/>
    </sheetView>
  </sheetViews>
  <sheetFormatPr defaultColWidth="11.42578125" defaultRowHeight="15"/>
  <sheetData/>
  <sortState xmlns:xlrd2="http://schemas.microsoft.com/office/spreadsheetml/2017/richdata2" ref="A2:A70">
    <sortCondition descending="1" ref="A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B5D63E6B92BA94DA1C10180C735A898" ma:contentTypeVersion="0" ma:contentTypeDescription="Create a new document." ma:contentTypeScope="" ma:versionID="64996207d43ff056847c71a18be066a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182AD9-3482-4229-A39C-A4F5D6A5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617018E2-3B28-40E5-9759-E7C06B415969}">
  <ds:schemaRefs>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7DD64E58-FEC1-4E41-9231-2C2B45E326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43</vt:i4>
      </vt:variant>
    </vt:vector>
  </HeadingPairs>
  <TitlesOfParts>
    <vt:vector size="52" baseType="lpstr">
      <vt:lpstr>Title &amp; Revision</vt:lpstr>
      <vt:lpstr>Requirements</vt:lpstr>
      <vt:lpstr>Indicators</vt:lpstr>
      <vt:lpstr>Guidelines</vt:lpstr>
      <vt:lpstr>Parameters</vt:lpstr>
      <vt:lpstr>Import_QC</vt:lpstr>
      <vt:lpstr>Admin</vt:lpstr>
      <vt:lpstr>Template Revision</vt:lpstr>
      <vt:lpstr>Green_Req</vt:lpstr>
      <vt:lpstr>AUTH</vt:lpstr>
      <vt:lpstr>AUTH_COPY</vt:lpstr>
      <vt:lpstr>AUTHOR</vt:lpstr>
      <vt:lpstr>AUTHOR_COPY</vt:lpstr>
      <vt:lpstr>CATEGORY</vt:lpstr>
      <vt:lpstr>CUSTOMER</vt:lpstr>
      <vt:lpstr>EMPTYCAT</vt:lpstr>
      <vt:lpstr>EMPTYREQ</vt:lpstr>
      <vt:lpstr>Green_Req!Extract</vt:lpstr>
      <vt:lpstr>FILEHOLD_REF</vt:lpstr>
      <vt:lpstr>FILTER</vt:lpstr>
      <vt:lpstr>HEADER_LINE</vt:lpstr>
      <vt:lpstr>HELP</vt:lpstr>
      <vt:lpstr>INHERITED</vt:lpstr>
      <vt:lpstr>LAST_AUTHOR</vt:lpstr>
      <vt:lpstr>LAST_SAVE</vt:lpstr>
      <vt:lpstr>LAST_SAVE_DATE</vt:lpstr>
      <vt:lpstr>LAST_UPDATE</vt:lpstr>
      <vt:lpstr>LAST_UPDATE_COPY</vt:lpstr>
      <vt:lpstr>PREFIX</vt:lpstr>
      <vt:lpstr>PRIORITY</vt:lpstr>
      <vt:lpstr>PRIORITY1</vt:lpstr>
      <vt:lpstr>PRIORITY10</vt:lpstr>
      <vt:lpstr>PRIORITY2</vt:lpstr>
      <vt:lpstr>PRIORITY3</vt:lpstr>
      <vt:lpstr>PRIORITY4</vt:lpstr>
      <vt:lpstr>PRIORITY5</vt:lpstr>
      <vt:lpstr>PRIORITY6</vt:lpstr>
      <vt:lpstr>PRIORITY7</vt:lpstr>
      <vt:lpstr>PRIORITY8</vt:lpstr>
      <vt:lpstr>PRIORITY9</vt:lpstr>
      <vt:lpstr>PRODUCT_LIST</vt:lpstr>
      <vt:lpstr>PRODUCT_NAME</vt:lpstr>
      <vt:lpstr>REQ.DESCRIPTION</vt:lpstr>
      <vt:lpstr>REQ_BOTTOM_LINE</vt:lpstr>
      <vt:lpstr>REQ_FILTER</vt:lpstr>
      <vt:lpstr>REQ_SHEET</vt:lpstr>
      <vt:lpstr>STATUS</vt:lpstr>
      <vt:lpstr>'Template Revision'!TEMP_VER_BOTTOM_LINE</vt:lpstr>
      <vt:lpstr>'Template Revision'!TEMPLATE_FILEHOLD_REF</vt:lpstr>
      <vt:lpstr>TRACK_UPDATES</vt:lpstr>
      <vt:lpstr>VER_BOTTOM_LINE</vt:lpstr>
      <vt:lpstr>VERSION</vt:lpstr>
    </vt:vector>
  </TitlesOfParts>
  <Company>SWI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MRD Template</dc:title>
  <dc:creator>SEPG</dc:creator>
  <cp:keywords>M2M_SQI, SEPG, CMMI</cp:keywords>
  <cp:lastModifiedBy>Windows User</cp:lastModifiedBy>
  <cp:lastPrinted>2012-10-23T15:19:40Z</cp:lastPrinted>
  <dcterms:created xsi:type="dcterms:W3CDTF">2012-10-12T14:54:40Z</dcterms:created>
  <dcterms:modified xsi:type="dcterms:W3CDTF">2018-12-05T08:47:26Z</dcterms:modified>
  <cp:category>Template</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0x010100EB5D63E6B92BA94DA1C10180C735A898</vt:lpwstr>
  </property>
  <property fmtid="{D5CDD505-2E9C-101B-9397-08002B2CF9AE}" pid="3" name="Order">
    <vt:r8>35100</vt:r8>
  </property>
  <property fmtid="{D5CDD505-2E9C-101B-9397-08002B2CF9AE}" pid="4" name="TemplateUrl">
    <vt:lpwstr/>
  </property>
  <property fmtid="{D5CDD505-2E9C-101B-9397-08002B2CF9AE}" pid="5" name="_CopySource">
    <vt:lpwstr>https://swiextranet.sierrawireless.com/engineering/cmmi/Shared Documents/Workshops/WS1 Lifecycle/M2MSQI-MRD_Template-R01.09.xlsm</vt:lpwstr>
  </property>
  <property fmtid="{D5CDD505-2E9C-101B-9397-08002B2CF9AE}" pid="6" name="xd_ProgID">
    <vt:lpwstr/>
  </property>
</Properties>
</file>